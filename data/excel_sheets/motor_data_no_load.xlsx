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rubeba\Downloads\"/>
    </mc:Choice>
  </mc:AlternateContent>
  <xr:revisionPtr revIDLastSave="0" documentId="13_ncr:1_{33F81D64-A149-4C2C-9F93-EEB096D1F678}" xr6:coauthVersionLast="47" xr6:coauthVersionMax="47" xr10:uidLastSave="{00000000-0000-0000-0000-000000000000}"/>
  <bookViews>
    <workbookView xWindow="-120" yWindow="-120" windowWidth="29040" windowHeight="15720" xr2:uid="{26BED073-5FC8-4AA8-8276-F14B2D10F6F6}"/>
  </bookViews>
  <sheets>
    <sheet name="motor_data_no_load" sheetId="2" r:id="rId1"/>
    <sheet name="Folha1" sheetId="1" r:id="rId2"/>
  </sheets>
  <definedNames>
    <definedName name="DadosExternos_1" localSheetId="0" hidden="1">motor_data_no_load!$A$1:$D$221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5" i="2" l="1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94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3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846BB0-1A49-4599-A180-DB91601175A7}" keepAlive="1" name="Consulta - motor_data_no_load" description="Ligação à consulta 'motor_data_no_load' no livro." type="5" refreshedVersion="8" background="1" saveData="1">
    <dbPr connection="Provider=Microsoft.Mashup.OleDb.1;Data Source=$Workbook$;Location=motor_data_no_load;Extended Properties=&quot;&quot;" command="SELECT * FROM [motor_data_no_load]"/>
  </connection>
</connections>
</file>

<file path=xl/sharedStrings.xml><?xml version="1.0" encoding="utf-8"?>
<sst xmlns="http://schemas.openxmlformats.org/spreadsheetml/2006/main" count="227" uniqueCount="153">
  <si>
    <t>Time (s)</t>
  </si>
  <si>
    <t>Output</t>
  </si>
  <si>
    <t>Frequency (Hz)</t>
  </si>
  <si>
    <t>RPM</t>
  </si>
  <si>
    <t>normalized time</t>
  </si>
  <si>
    <t>90,91 Hz</t>
  </si>
  <si>
    <t>106,00 Hz</t>
  </si>
  <si>
    <t>104,18 Hz</t>
  </si>
  <si>
    <t>102,73 Hz</t>
  </si>
  <si>
    <t>102,36 Hz</t>
  </si>
  <si>
    <t>102,00 Hz</t>
  </si>
  <si>
    <t>102,18 Hz</t>
  </si>
  <si>
    <t>101,64 Hz</t>
  </si>
  <si>
    <t>101,09 Hz</t>
  </si>
  <si>
    <t>100,73 Hz</t>
  </si>
  <si>
    <t>100,18 Hz</t>
  </si>
  <si>
    <t>100,00 Hz</t>
  </si>
  <si>
    <t>99,64 Hz</t>
  </si>
  <si>
    <t>99,27 Hz</t>
  </si>
  <si>
    <t>98,73 Hz</t>
  </si>
  <si>
    <t>98,36 Hz</t>
  </si>
  <si>
    <t>98,18 Hz</t>
  </si>
  <si>
    <t>97,82 Hz</t>
  </si>
  <si>
    <t>97,64 Hz</t>
  </si>
  <si>
    <t>97,27 Hz</t>
  </si>
  <si>
    <t>96,73 Hz</t>
  </si>
  <si>
    <t>96,55 Hz</t>
  </si>
  <si>
    <t>96,00 Hz</t>
  </si>
  <si>
    <t>95,64 Hz</t>
  </si>
  <si>
    <t>94,91 Hz</t>
  </si>
  <si>
    <t>94,73 Hz</t>
  </si>
  <si>
    <t>94,00 Hz</t>
  </si>
  <si>
    <t>93,64 Hz</t>
  </si>
  <si>
    <t>92,91 Hz</t>
  </si>
  <si>
    <t>92,55 Hz</t>
  </si>
  <si>
    <t>92,00 Hz</t>
  </si>
  <si>
    <t>91,09 Hz</t>
  </si>
  <si>
    <t>90,18 Hz</t>
  </si>
  <si>
    <t>90,00 Hz</t>
  </si>
  <si>
    <t>87,09 Hz</t>
  </si>
  <si>
    <t>84,73 Hz</t>
  </si>
  <si>
    <t>83,64 Hz</t>
  </si>
  <si>
    <t>83,09 Hz</t>
  </si>
  <si>
    <t>82,00 Hz</t>
  </si>
  <si>
    <t>81,27 Hz</t>
  </si>
  <si>
    <t>80,18 Hz</t>
  </si>
  <si>
    <t>79,27 Hz</t>
  </si>
  <si>
    <t>78,00 Hz</t>
  </si>
  <si>
    <t>76,91 Hz</t>
  </si>
  <si>
    <t>76,00 Hz</t>
  </si>
  <si>
    <t>74,73 Hz</t>
  </si>
  <si>
    <t>73,64 Hz</t>
  </si>
  <si>
    <t>72,36 Hz</t>
  </si>
  <si>
    <t>70,91 Hz</t>
  </si>
  <si>
    <t>69,64 Hz</t>
  </si>
  <si>
    <t>68,18 Hz</t>
  </si>
  <si>
    <t>66,73 Hz</t>
  </si>
  <si>
    <t>65,27 Hz</t>
  </si>
  <si>
    <t>63,45 Hz</t>
  </si>
  <si>
    <t>61,82 Hz</t>
  </si>
  <si>
    <t>59,82 Hz</t>
  </si>
  <si>
    <t>58,36 Hz</t>
  </si>
  <si>
    <t>56,18 Hz</t>
  </si>
  <si>
    <t>54,36 Hz</t>
  </si>
  <si>
    <t>52,36 Hz</t>
  </si>
  <si>
    <t>50,00 Hz</t>
  </si>
  <si>
    <t>47,82 Hz</t>
  </si>
  <si>
    <t>45,27 Hz</t>
  </si>
  <si>
    <t>42,91 Hz</t>
  </si>
  <si>
    <t>40,18 Hz</t>
  </si>
  <si>
    <t>37,64 Hz</t>
  </si>
  <si>
    <t>34,73 Hz</t>
  </si>
  <si>
    <t>32,00 Hz</t>
  </si>
  <si>
    <t>29,09 Hz</t>
  </si>
  <si>
    <t>26,36 Hz</t>
  </si>
  <si>
    <t>23,09 Hz</t>
  </si>
  <si>
    <t>20,36 Hz</t>
  </si>
  <si>
    <t>17,27 Hz</t>
  </si>
  <si>
    <t>14,36 Hz</t>
  </si>
  <si>
    <t>11,45 Hz</t>
  </si>
  <si>
    <t>8,36 Hz</t>
  </si>
  <si>
    <t>5,82 Hz</t>
  </si>
  <si>
    <t>3,27 Hz</t>
  </si>
  <si>
    <t>0,00 Hz</t>
  </si>
  <si>
    <t>0,36 Hz</t>
  </si>
  <si>
    <t>0,18 Hz</t>
  </si>
  <si>
    <t>11,09 Hz</t>
  </si>
  <si>
    <t>16,18 Hz</t>
  </si>
  <si>
    <t>19,64 Hz</t>
  </si>
  <si>
    <t>22,55 Hz</t>
  </si>
  <si>
    <t>25,45 Hz</t>
  </si>
  <si>
    <t>28,36 Hz</t>
  </si>
  <si>
    <t>31,45 Hz</t>
  </si>
  <si>
    <t>34,36 Hz</t>
  </si>
  <si>
    <t>40,55 Hz</t>
  </si>
  <si>
    <t>43,27 Hz</t>
  </si>
  <si>
    <t>45,64 Hz</t>
  </si>
  <si>
    <t>48,55 Hz</t>
  </si>
  <si>
    <t>50,91 Hz</t>
  </si>
  <si>
    <t>53,27 Hz</t>
  </si>
  <si>
    <t>55,64 Hz</t>
  </si>
  <si>
    <t>57,45 Hz</t>
  </si>
  <si>
    <t>59,64 Hz</t>
  </si>
  <si>
    <t>61,64 Hz</t>
  </si>
  <si>
    <t>63,64 Hz</t>
  </si>
  <si>
    <t>65,09 Hz</t>
  </si>
  <si>
    <t>68,00 Hz</t>
  </si>
  <si>
    <t>69,82 Hz</t>
  </si>
  <si>
    <t>70,36 Hz</t>
  </si>
  <si>
    <t>72,18 Hz</t>
  </si>
  <si>
    <t>73,45 Hz</t>
  </si>
  <si>
    <t>77,27 Hz</t>
  </si>
  <si>
    <t>78,73 Hz</t>
  </si>
  <si>
    <t>79,82 Hz</t>
  </si>
  <si>
    <t>80,91 Hz</t>
  </si>
  <si>
    <t>81,82 Hz</t>
  </si>
  <si>
    <t>82,91 Hz</t>
  </si>
  <si>
    <t>83,82 Hz</t>
  </si>
  <si>
    <t>84,91 Hz</t>
  </si>
  <si>
    <t>85,64 Hz</t>
  </si>
  <si>
    <t>86,36 Hz</t>
  </si>
  <si>
    <t>87,27 Hz</t>
  </si>
  <si>
    <t>87,82 Hz</t>
  </si>
  <si>
    <t>88,36 Hz</t>
  </si>
  <si>
    <t>92,36 Hz</t>
  </si>
  <si>
    <t>95,27 Hz</t>
  </si>
  <si>
    <t>95,82 Hz</t>
  </si>
  <si>
    <t>96,18 Hz</t>
  </si>
  <si>
    <t>97,09 Hz</t>
  </si>
  <si>
    <t>97,45 Hz</t>
  </si>
  <si>
    <t>98,00 Hz</t>
  </si>
  <si>
    <t>99,09 Hz</t>
  </si>
  <si>
    <t>100,91 Hz</t>
  </si>
  <si>
    <t>101,82 Hz</t>
  </si>
  <si>
    <t>103,09 Hz</t>
  </si>
  <si>
    <t>102,91 Hz</t>
  </si>
  <si>
    <t>103,27 Hz</t>
  </si>
  <si>
    <t>103,45 Hz</t>
  </si>
  <si>
    <t>103,82 Hz</t>
  </si>
  <si>
    <t>104,55 Hz</t>
  </si>
  <si>
    <t>104,73 Hz</t>
  </si>
  <si>
    <t>105,09 Hz</t>
  </si>
  <si>
    <t>105,27 Hz</t>
  </si>
  <si>
    <t>105,45 Hz</t>
  </si>
  <si>
    <t>106,36 Hz</t>
  </si>
  <si>
    <t>108,18 Hz</t>
  </si>
  <si>
    <t>109,45 Hz</t>
  </si>
  <si>
    <t>110,00 Hz</t>
  </si>
  <si>
    <t>109,82 Hz</t>
  </si>
  <si>
    <t>110,18 Hz</t>
  </si>
  <si>
    <t>110,36 Hz</t>
  </si>
  <si>
    <t>ignore row</t>
  </si>
  <si>
    <t>rpm with negatives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</si>
</sst>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Absolute Value of the RPM as a function of the PWM (No Load)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j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motor_data_no_load!$B$3:$B$221</c:f>
              <c:numCache>
                <c:formatCode>General</c:formatCode>
                <c:ptCount val="219"/>
                <c:pt idx="0">
                  <c:v>-249.95</c:v>
                </c:pt>
                <c:pt idx="1">
                  <c:v>-247.45</c:v>
                </c:pt>
                <c:pt idx="2">
                  <c:v>-244.95</c:v>
                </c:pt>
                <c:pt idx="3">
                  <c:v>-242.45</c:v>
                </c:pt>
                <c:pt idx="4">
                  <c:v>-239.95</c:v>
                </c:pt>
                <c:pt idx="5">
                  <c:v>-237.45</c:v>
                </c:pt>
                <c:pt idx="6">
                  <c:v>-234.95</c:v>
                </c:pt>
                <c:pt idx="7">
                  <c:v>-232.45</c:v>
                </c:pt>
                <c:pt idx="8">
                  <c:v>-229.95</c:v>
                </c:pt>
                <c:pt idx="9">
                  <c:v>-227.45</c:v>
                </c:pt>
                <c:pt idx="10">
                  <c:v>-224.95</c:v>
                </c:pt>
                <c:pt idx="11">
                  <c:v>-222.45</c:v>
                </c:pt>
                <c:pt idx="12">
                  <c:v>-219.95</c:v>
                </c:pt>
                <c:pt idx="13">
                  <c:v>-217.45</c:v>
                </c:pt>
                <c:pt idx="14">
                  <c:v>-214.95</c:v>
                </c:pt>
                <c:pt idx="15">
                  <c:v>-212.45</c:v>
                </c:pt>
                <c:pt idx="16">
                  <c:v>-209.95</c:v>
                </c:pt>
                <c:pt idx="17">
                  <c:v>-207.45</c:v>
                </c:pt>
                <c:pt idx="18">
                  <c:v>-204.95</c:v>
                </c:pt>
                <c:pt idx="19">
                  <c:v>-202.45</c:v>
                </c:pt>
                <c:pt idx="20">
                  <c:v>-199.95</c:v>
                </c:pt>
                <c:pt idx="21">
                  <c:v>-197.45</c:v>
                </c:pt>
                <c:pt idx="22">
                  <c:v>-194.95</c:v>
                </c:pt>
                <c:pt idx="23">
                  <c:v>-192.45</c:v>
                </c:pt>
                <c:pt idx="24">
                  <c:v>-189.95</c:v>
                </c:pt>
                <c:pt idx="25">
                  <c:v>-187.45</c:v>
                </c:pt>
                <c:pt idx="26">
                  <c:v>-184.95</c:v>
                </c:pt>
                <c:pt idx="27">
                  <c:v>-182.45</c:v>
                </c:pt>
                <c:pt idx="28">
                  <c:v>-179.95</c:v>
                </c:pt>
                <c:pt idx="29">
                  <c:v>-177.45</c:v>
                </c:pt>
                <c:pt idx="30">
                  <c:v>-174.95</c:v>
                </c:pt>
                <c:pt idx="31">
                  <c:v>-172.45</c:v>
                </c:pt>
                <c:pt idx="32">
                  <c:v>-169.95</c:v>
                </c:pt>
                <c:pt idx="33">
                  <c:v>-167.45</c:v>
                </c:pt>
                <c:pt idx="34">
                  <c:v>-164.95</c:v>
                </c:pt>
                <c:pt idx="35">
                  <c:v>-162.44999999999999</c:v>
                </c:pt>
                <c:pt idx="36">
                  <c:v>-159.94999999999999</c:v>
                </c:pt>
                <c:pt idx="37">
                  <c:v>-157.44999999999999</c:v>
                </c:pt>
                <c:pt idx="38">
                  <c:v>-154.94999999999999</c:v>
                </c:pt>
                <c:pt idx="39">
                  <c:v>-152.44999999999999</c:v>
                </c:pt>
                <c:pt idx="40">
                  <c:v>-149.94999999999999</c:v>
                </c:pt>
                <c:pt idx="41">
                  <c:v>-147.44999999999999</c:v>
                </c:pt>
                <c:pt idx="42">
                  <c:v>-144.94999999999999</c:v>
                </c:pt>
                <c:pt idx="43">
                  <c:v>-142.44999999999999</c:v>
                </c:pt>
                <c:pt idx="44">
                  <c:v>-139.94999999999999</c:v>
                </c:pt>
                <c:pt idx="45">
                  <c:v>-137.44999999999999</c:v>
                </c:pt>
                <c:pt idx="46">
                  <c:v>-134.94999999999999</c:v>
                </c:pt>
                <c:pt idx="47">
                  <c:v>-132.44999999999999</c:v>
                </c:pt>
                <c:pt idx="48">
                  <c:v>-129.94999999999999</c:v>
                </c:pt>
                <c:pt idx="49">
                  <c:v>-127.45</c:v>
                </c:pt>
                <c:pt idx="50">
                  <c:v>-124.95</c:v>
                </c:pt>
                <c:pt idx="51">
                  <c:v>-122.45</c:v>
                </c:pt>
                <c:pt idx="52">
                  <c:v>-119.95</c:v>
                </c:pt>
                <c:pt idx="53">
                  <c:v>-117.45</c:v>
                </c:pt>
                <c:pt idx="54">
                  <c:v>-114.95</c:v>
                </c:pt>
                <c:pt idx="55">
                  <c:v>-112.45</c:v>
                </c:pt>
                <c:pt idx="56">
                  <c:v>-109.95</c:v>
                </c:pt>
                <c:pt idx="57">
                  <c:v>-107.45</c:v>
                </c:pt>
                <c:pt idx="58">
                  <c:v>-104.95</c:v>
                </c:pt>
                <c:pt idx="59">
                  <c:v>-102.45</c:v>
                </c:pt>
                <c:pt idx="60">
                  <c:v>-99.95</c:v>
                </c:pt>
                <c:pt idx="61">
                  <c:v>-97.45</c:v>
                </c:pt>
                <c:pt idx="62">
                  <c:v>-94.95</c:v>
                </c:pt>
                <c:pt idx="63">
                  <c:v>-92.45</c:v>
                </c:pt>
                <c:pt idx="64">
                  <c:v>-89.95</c:v>
                </c:pt>
                <c:pt idx="65">
                  <c:v>-87.45</c:v>
                </c:pt>
                <c:pt idx="66">
                  <c:v>-84.95</c:v>
                </c:pt>
                <c:pt idx="67">
                  <c:v>-82.45</c:v>
                </c:pt>
                <c:pt idx="68">
                  <c:v>-79.95</c:v>
                </c:pt>
                <c:pt idx="69">
                  <c:v>-77.45</c:v>
                </c:pt>
                <c:pt idx="70">
                  <c:v>-74.95</c:v>
                </c:pt>
                <c:pt idx="71">
                  <c:v>-72.45</c:v>
                </c:pt>
                <c:pt idx="72">
                  <c:v>-69.95</c:v>
                </c:pt>
                <c:pt idx="73">
                  <c:v>-67.45</c:v>
                </c:pt>
                <c:pt idx="74">
                  <c:v>-64.95</c:v>
                </c:pt>
                <c:pt idx="75">
                  <c:v>-62.45</c:v>
                </c:pt>
                <c:pt idx="76">
                  <c:v>-59.95</c:v>
                </c:pt>
                <c:pt idx="77">
                  <c:v>-57.45</c:v>
                </c:pt>
                <c:pt idx="78">
                  <c:v>-54.95</c:v>
                </c:pt>
                <c:pt idx="79">
                  <c:v>-52.45</c:v>
                </c:pt>
                <c:pt idx="80">
                  <c:v>-49.95</c:v>
                </c:pt>
                <c:pt idx="81">
                  <c:v>-47.45</c:v>
                </c:pt>
                <c:pt idx="82">
                  <c:v>-44.95</c:v>
                </c:pt>
                <c:pt idx="83">
                  <c:v>-42.45</c:v>
                </c:pt>
                <c:pt idx="84">
                  <c:v>-39.950000000000003</c:v>
                </c:pt>
                <c:pt idx="85">
                  <c:v>-37.450000000000003</c:v>
                </c:pt>
                <c:pt idx="86">
                  <c:v>-34.950000000000003</c:v>
                </c:pt>
                <c:pt idx="87">
                  <c:v>-32.450000000000003</c:v>
                </c:pt>
                <c:pt idx="88">
                  <c:v>-29.95</c:v>
                </c:pt>
                <c:pt idx="89">
                  <c:v>-27.45</c:v>
                </c:pt>
                <c:pt idx="90">
                  <c:v>-24.95</c:v>
                </c:pt>
                <c:pt idx="91">
                  <c:v>-22.45</c:v>
                </c:pt>
                <c:pt idx="92">
                  <c:v>-19.95</c:v>
                </c:pt>
                <c:pt idx="93">
                  <c:v>-17.45</c:v>
                </c:pt>
                <c:pt idx="94">
                  <c:v>-14.95</c:v>
                </c:pt>
                <c:pt idx="95">
                  <c:v>-12.45</c:v>
                </c:pt>
                <c:pt idx="96">
                  <c:v>-9.9499999999999993</c:v>
                </c:pt>
                <c:pt idx="97">
                  <c:v>-7.45</c:v>
                </c:pt>
                <c:pt idx="98">
                  <c:v>-4.95</c:v>
                </c:pt>
                <c:pt idx="99">
                  <c:v>-2.4500000000000002</c:v>
                </c:pt>
                <c:pt idx="100">
                  <c:v>0.05</c:v>
                </c:pt>
                <c:pt idx="101">
                  <c:v>2.5499999999999998</c:v>
                </c:pt>
                <c:pt idx="102">
                  <c:v>5.05</c:v>
                </c:pt>
                <c:pt idx="103">
                  <c:v>7.55</c:v>
                </c:pt>
                <c:pt idx="104">
                  <c:v>10.050000000000001</c:v>
                </c:pt>
                <c:pt idx="105">
                  <c:v>12.55</c:v>
                </c:pt>
                <c:pt idx="106">
                  <c:v>15.05</c:v>
                </c:pt>
                <c:pt idx="107">
                  <c:v>17.55</c:v>
                </c:pt>
                <c:pt idx="108">
                  <c:v>20.05</c:v>
                </c:pt>
                <c:pt idx="109">
                  <c:v>22.55</c:v>
                </c:pt>
                <c:pt idx="110">
                  <c:v>25.05</c:v>
                </c:pt>
                <c:pt idx="111">
                  <c:v>27.55</c:v>
                </c:pt>
                <c:pt idx="112">
                  <c:v>30.05</c:v>
                </c:pt>
                <c:pt idx="113">
                  <c:v>32.549999999999997</c:v>
                </c:pt>
                <c:pt idx="114">
                  <c:v>35.049999999999997</c:v>
                </c:pt>
                <c:pt idx="115">
                  <c:v>37.549999999999997</c:v>
                </c:pt>
                <c:pt idx="116">
                  <c:v>40.049999999999997</c:v>
                </c:pt>
                <c:pt idx="117">
                  <c:v>42.55</c:v>
                </c:pt>
                <c:pt idx="118">
                  <c:v>45.05</c:v>
                </c:pt>
                <c:pt idx="119">
                  <c:v>47.55</c:v>
                </c:pt>
                <c:pt idx="120">
                  <c:v>50.05</c:v>
                </c:pt>
                <c:pt idx="121">
                  <c:v>52.55</c:v>
                </c:pt>
                <c:pt idx="122">
                  <c:v>55.05</c:v>
                </c:pt>
                <c:pt idx="123">
                  <c:v>57.55</c:v>
                </c:pt>
                <c:pt idx="124">
                  <c:v>60.05</c:v>
                </c:pt>
                <c:pt idx="125">
                  <c:v>62.55</c:v>
                </c:pt>
                <c:pt idx="126">
                  <c:v>65.05</c:v>
                </c:pt>
                <c:pt idx="127">
                  <c:v>67.55</c:v>
                </c:pt>
                <c:pt idx="128">
                  <c:v>70.05</c:v>
                </c:pt>
                <c:pt idx="129">
                  <c:v>72.55</c:v>
                </c:pt>
                <c:pt idx="130">
                  <c:v>75.05</c:v>
                </c:pt>
                <c:pt idx="131">
                  <c:v>77.55</c:v>
                </c:pt>
                <c:pt idx="132">
                  <c:v>80.05</c:v>
                </c:pt>
                <c:pt idx="133">
                  <c:v>82.55</c:v>
                </c:pt>
                <c:pt idx="134">
                  <c:v>85.05</c:v>
                </c:pt>
                <c:pt idx="135">
                  <c:v>87.55</c:v>
                </c:pt>
                <c:pt idx="136">
                  <c:v>90.05</c:v>
                </c:pt>
                <c:pt idx="137">
                  <c:v>92.55</c:v>
                </c:pt>
                <c:pt idx="138">
                  <c:v>95.05</c:v>
                </c:pt>
                <c:pt idx="139">
                  <c:v>97.55</c:v>
                </c:pt>
                <c:pt idx="140">
                  <c:v>100.05</c:v>
                </c:pt>
                <c:pt idx="141">
                  <c:v>102.55</c:v>
                </c:pt>
                <c:pt idx="142">
                  <c:v>105.05</c:v>
                </c:pt>
                <c:pt idx="143">
                  <c:v>107.55</c:v>
                </c:pt>
                <c:pt idx="144">
                  <c:v>110.05</c:v>
                </c:pt>
                <c:pt idx="145">
                  <c:v>112.55</c:v>
                </c:pt>
                <c:pt idx="146">
                  <c:v>115.05</c:v>
                </c:pt>
                <c:pt idx="147">
                  <c:v>117.55</c:v>
                </c:pt>
                <c:pt idx="148">
                  <c:v>120.05</c:v>
                </c:pt>
                <c:pt idx="149">
                  <c:v>122.55</c:v>
                </c:pt>
                <c:pt idx="150">
                  <c:v>125.05</c:v>
                </c:pt>
                <c:pt idx="151">
                  <c:v>127.55</c:v>
                </c:pt>
                <c:pt idx="152">
                  <c:v>130.05000000000001</c:v>
                </c:pt>
                <c:pt idx="153">
                  <c:v>132.55000000000001</c:v>
                </c:pt>
                <c:pt idx="154">
                  <c:v>135.05000000000001</c:v>
                </c:pt>
                <c:pt idx="155">
                  <c:v>137.55000000000001</c:v>
                </c:pt>
                <c:pt idx="156">
                  <c:v>140.05000000000001</c:v>
                </c:pt>
                <c:pt idx="157">
                  <c:v>142.55000000000001</c:v>
                </c:pt>
                <c:pt idx="158">
                  <c:v>145.05000000000001</c:v>
                </c:pt>
                <c:pt idx="159">
                  <c:v>147.55000000000001</c:v>
                </c:pt>
                <c:pt idx="160">
                  <c:v>150.05000000000001</c:v>
                </c:pt>
                <c:pt idx="161">
                  <c:v>152.55000000000001</c:v>
                </c:pt>
                <c:pt idx="162">
                  <c:v>155.05000000000001</c:v>
                </c:pt>
                <c:pt idx="163">
                  <c:v>157.55000000000001</c:v>
                </c:pt>
                <c:pt idx="164">
                  <c:v>160.05000000000001</c:v>
                </c:pt>
                <c:pt idx="165">
                  <c:v>162.55000000000001</c:v>
                </c:pt>
                <c:pt idx="166">
                  <c:v>165.05</c:v>
                </c:pt>
                <c:pt idx="167">
                  <c:v>167.55</c:v>
                </c:pt>
                <c:pt idx="168">
                  <c:v>170.05</c:v>
                </c:pt>
                <c:pt idx="169">
                  <c:v>172.55</c:v>
                </c:pt>
                <c:pt idx="170">
                  <c:v>175.05</c:v>
                </c:pt>
                <c:pt idx="171">
                  <c:v>177.55</c:v>
                </c:pt>
                <c:pt idx="172">
                  <c:v>180.05</c:v>
                </c:pt>
                <c:pt idx="173">
                  <c:v>182.55</c:v>
                </c:pt>
                <c:pt idx="174">
                  <c:v>185.05</c:v>
                </c:pt>
                <c:pt idx="175">
                  <c:v>187.55</c:v>
                </c:pt>
                <c:pt idx="176">
                  <c:v>190.05</c:v>
                </c:pt>
                <c:pt idx="177">
                  <c:v>192.55</c:v>
                </c:pt>
                <c:pt idx="178">
                  <c:v>195.05</c:v>
                </c:pt>
                <c:pt idx="179">
                  <c:v>197.55</c:v>
                </c:pt>
                <c:pt idx="180">
                  <c:v>200.05</c:v>
                </c:pt>
                <c:pt idx="181">
                  <c:v>202.55</c:v>
                </c:pt>
                <c:pt idx="182">
                  <c:v>205.05</c:v>
                </c:pt>
                <c:pt idx="183">
                  <c:v>207.55</c:v>
                </c:pt>
                <c:pt idx="184">
                  <c:v>210.05</c:v>
                </c:pt>
                <c:pt idx="185">
                  <c:v>212.55</c:v>
                </c:pt>
                <c:pt idx="186">
                  <c:v>215.05</c:v>
                </c:pt>
                <c:pt idx="187">
                  <c:v>217.55</c:v>
                </c:pt>
                <c:pt idx="188">
                  <c:v>220.05</c:v>
                </c:pt>
                <c:pt idx="189">
                  <c:v>222.55</c:v>
                </c:pt>
                <c:pt idx="190">
                  <c:v>225.05</c:v>
                </c:pt>
                <c:pt idx="191">
                  <c:v>227.55</c:v>
                </c:pt>
                <c:pt idx="192">
                  <c:v>230.05</c:v>
                </c:pt>
                <c:pt idx="193">
                  <c:v>232.55</c:v>
                </c:pt>
                <c:pt idx="194">
                  <c:v>235.05</c:v>
                </c:pt>
                <c:pt idx="195">
                  <c:v>237.55</c:v>
                </c:pt>
                <c:pt idx="196">
                  <c:v>240.05</c:v>
                </c:pt>
                <c:pt idx="197">
                  <c:v>242.55</c:v>
                </c:pt>
                <c:pt idx="198">
                  <c:v>245.05</c:v>
                </c:pt>
                <c:pt idx="199">
                  <c:v>247.55</c:v>
                </c:pt>
                <c:pt idx="200">
                  <c:v>250.05</c:v>
                </c:pt>
                <c:pt idx="201">
                  <c:v>252.55</c:v>
                </c:pt>
                <c:pt idx="202">
                  <c:v>255</c:v>
                </c:pt>
                <c:pt idx="203">
                  <c:v>255</c:v>
                </c:pt>
                <c:pt idx="204">
                  <c:v>255</c:v>
                </c:pt>
                <c:pt idx="205">
                  <c:v>255</c:v>
                </c:pt>
                <c:pt idx="206">
                  <c:v>255</c:v>
                </c:pt>
                <c:pt idx="207">
                  <c:v>255</c:v>
                </c:pt>
                <c:pt idx="208">
                  <c:v>255</c:v>
                </c:pt>
                <c:pt idx="209">
                  <c:v>255</c:v>
                </c:pt>
                <c:pt idx="210">
                  <c:v>255</c:v>
                </c:pt>
                <c:pt idx="211">
                  <c:v>255</c:v>
                </c:pt>
                <c:pt idx="212">
                  <c:v>255</c:v>
                </c:pt>
                <c:pt idx="213">
                  <c:v>255</c:v>
                </c:pt>
                <c:pt idx="214">
                  <c:v>255</c:v>
                </c:pt>
                <c:pt idx="215">
                  <c:v>255</c:v>
                </c:pt>
                <c:pt idx="216">
                  <c:v>255</c:v>
                </c:pt>
                <c:pt idx="217">
                  <c:v>255</c:v>
                </c:pt>
                <c:pt idx="218">
                  <c:v>255</c:v>
                </c:pt>
              </c:numCache>
            </c:numRef>
          </c:xVal>
          <c:yVal>
            <c:numRef>
              <c:f>motor_data_no_load!$D$3:$D$221</c:f>
              <c:numCache>
                <c:formatCode>General</c:formatCode>
                <c:ptCount val="219"/>
                <c:pt idx="0">
                  <c:v>662.5</c:v>
                </c:pt>
                <c:pt idx="1">
                  <c:v>651.14</c:v>
                </c:pt>
                <c:pt idx="2">
                  <c:v>642.04999999999995</c:v>
                </c:pt>
                <c:pt idx="3">
                  <c:v>639.77</c:v>
                </c:pt>
                <c:pt idx="4">
                  <c:v>637.5</c:v>
                </c:pt>
                <c:pt idx="5">
                  <c:v>639.77</c:v>
                </c:pt>
                <c:pt idx="6">
                  <c:v>639.77</c:v>
                </c:pt>
                <c:pt idx="7">
                  <c:v>638.64</c:v>
                </c:pt>
                <c:pt idx="8">
                  <c:v>638.64</c:v>
                </c:pt>
                <c:pt idx="9">
                  <c:v>637.5</c:v>
                </c:pt>
                <c:pt idx="10">
                  <c:v>635.23</c:v>
                </c:pt>
                <c:pt idx="11">
                  <c:v>631.82000000000005</c:v>
                </c:pt>
                <c:pt idx="12">
                  <c:v>629.54999999999995</c:v>
                </c:pt>
                <c:pt idx="13">
                  <c:v>629.54999999999995</c:v>
                </c:pt>
                <c:pt idx="14">
                  <c:v>626.14</c:v>
                </c:pt>
                <c:pt idx="15">
                  <c:v>626.14</c:v>
                </c:pt>
                <c:pt idx="16">
                  <c:v>625</c:v>
                </c:pt>
                <c:pt idx="17">
                  <c:v>622.73</c:v>
                </c:pt>
                <c:pt idx="18">
                  <c:v>620.45000000000005</c:v>
                </c:pt>
                <c:pt idx="19">
                  <c:v>617.04999999999995</c:v>
                </c:pt>
                <c:pt idx="20">
                  <c:v>614.77</c:v>
                </c:pt>
                <c:pt idx="21">
                  <c:v>613.64</c:v>
                </c:pt>
                <c:pt idx="22">
                  <c:v>611.36</c:v>
                </c:pt>
                <c:pt idx="23">
                  <c:v>610.23</c:v>
                </c:pt>
                <c:pt idx="24">
                  <c:v>607.95000000000005</c:v>
                </c:pt>
                <c:pt idx="25">
                  <c:v>604.54999999999995</c:v>
                </c:pt>
                <c:pt idx="26">
                  <c:v>603.41</c:v>
                </c:pt>
                <c:pt idx="27">
                  <c:v>600</c:v>
                </c:pt>
                <c:pt idx="28">
                  <c:v>597.73</c:v>
                </c:pt>
                <c:pt idx="29">
                  <c:v>597.73</c:v>
                </c:pt>
                <c:pt idx="30">
                  <c:v>593.17999999999995</c:v>
                </c:pt>
                <c:pt idx="31">
                  <c:v>592.04999999999995</c:v>
                </c:pt>
                <c:pt idx="32">
                  <c:v>587.5</c:v>
                </c:pt>
                <c:pt idx="33">
                  <c:v>585.23</c:v>
                </c:pt>
                <c:pt idx="34">
                  <c:v>580.67999999999995</c:v>
                </c:pt>
                <c:pt idx="35">
                  <c:v>578.41</c:v>
                </c:pt>
                <c:pt idx="36">
                  <c:v>575</c:v>
                </c:pt>
                <c:pt idx="37">
                  <c:v>569.32000000000005</c:v>
                </c:pt>
                <c:pt idx="38">
                  <c:v>563.64</c:v>
                </c:pt>
                <c:pt idx="39">
                  <c:v>562.5</c:v>
                </c:pt>
                <c:pt idx="40">
                  <c:v>563.64</c:v>
                </c:pt>
                <c:pt idx="41">
                  <c:v>563.64</c:v>
                </c:pt>
                <c:pt idx="42">
                  <c:v>563.64</c:v>
                </c:pt>
                <c:pt idx="43">
                  <c:v>563.64</c:v>
                </c:pt>
                <c:pt idx="44">
                  <c:v>563.64</c:v>
                </c:pt>
                <c:pt idx="45">
                  <c:v>563.64</c:v>
                </c:pt>
                <c:pt idx="46">
                  <c:v>562.5</c:v>
                </c:pt>
                <c:pt idx="47">
                  <c:v>544.32000000000005</c:v>
                </c:pt>
                <c:pt idx="48">
                  <c:v>529.54999999999995</c:v>
                </c:pt>
                <c:pt idx="49">
                  <c:v>522.73</c:v>
                </c:pt>
                <c:pt idx="50">
                  <c:v>519.32000000000005</c:v>
                </c:pt>
                <c:pt idx="51">
                  <c:v>512.5</c:v>
                </c:pt>
                <c:pt idx="52">
                  <c:v>507.95</c:v>
                </c:pt>
                <c:pt idx="53">
                  <c:v>501.14</c:v>
                </c:pt>
                <c:pt idx="54">
                  <c:v>495.45</c:v>
                </c:pt>
                <c:pt idx="55">
                  <c:v>487.5</c:v>
                </c:pt>
                <c:pt idx="56">
                  <c:v>480.68</c:v>
                </c:pt>
                <c:pt idx="57">
                  <c:v>475</c:v>
                </c:pt>
                <c:pt idx="58">
                  <c:v>467.05</c:v>
                </c:pt>
                <c:pt idx="59">
                  <c:v>460.23</c:v>
                </c:pt>
                <c:pt idx="60">
                  <c:v>452.27</c:v>
                </c:pt>
                <c:pt idx="61">
                  <c:v>443.18</c:v>
                </c:pt>
                <c:pt idx="62">
                  <c:v>435.23</c:v>
                </c:pt>
                <c:pt idx="63">
                  <c:v>426.14</c:v>
                </c:pt>
                <c:pt idx="64">
                  <c:v>417.05</c:v>
                </c:pt>
                <c:pt idx="65">
                  <c:v>407.95</c:v>
                </c:pt>
                <c:pt idx="66">
                  <c:v>396.59</c:v>
                </c:pt>
                <c:pt idx="67">
                  <c:v>386.36</c:v>
                </c:pt>
                <c:pt idx="68">
                  <c:v>373.86</c:v>
                </c:pt>
                <c:pt idx="69">
                  <c:v>364.77</c:v>
                </c:pt>
                <c:pt idx="70">
                  <c:v>351.14</c:v>
                </c:pt>
                <c:pt idx="71">
                  <c:v>339.77</c:v>
                </c:pt>
                <c:pt idx="72">
                  <c:v>327.27</c:v>
                </c:pt>
                <c:pt idx="73">
                  <c:v>312.5</c:v>
                </c:pt>
                <c:pt idx="74">
                  <c:v>298.86</c:v>
                </c:pt>
                <c:pt idx="75">
                  <c:v>282.95</c:v>
                </c:pt>
                <c:pt idx="76">
                  <c:v>268.18</c:v>
                </c:pt>
                <c:pt idx="77">
                  <c:v>251.14</c:v>
                </c:pt>
                <c:pt idx="78">
                  <c:v>235.23</c:v>
                </c:pt>
                <c:pt idx="79">
                  <c:v>217.05</c:v>
                </c:pt>
                <c:pt idx="80">
                  <c:v>200</c:v>
                </c:pt>
                <c:pt idx="81">
                  <c:v>181.82</c:v>
                </c:pt>
                <c:pt idx="82">
                  <c:v>164.77</c:v>
                </c:pt>
                <c:pt idx="83">
                  <c:v>144.32</c:v>
                </c:pt>
                <c:pt idx="84">
                  <c:v>127.27</c:v>
                </c:pt>
                <c:pt idx="85">
                  <c:v>107.95</c:v>
                </c:pt>
                <c:pt idx="86">
                  <c:v>89.77</c:v>
                </c:pt>
                <c:pt idx="87">
                  <c:v>71.59</c:v>
                </c:pt>
                <c:pt idx="88">
                  <c:v>52.27</c:v>
                </c:pt>
                <c:pt idx="89">
                  <c:v>36.36</c:v>
                </c:pt>
                <c:pt idx="90">
                  <c:v>20.45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2.27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1.1399999999999999</c:v>
                </c:pt>
                <c:pt idx="115">
                  <c:v>1.1399999999999999</c:v>
                </c:pt>
                <c:pt idx="116">
                  <c:v>69.319999999999993</c:v>
                </c:pt>
                <c:pt idx="117">
                  <c:v>101.14</c:v>
                </c:pt>
                <c:pt idx="118">
                  <c:v>122.73</c:v>
                </c:pt>
                <c:pt idx="119">
                  <c:v>140.91</c:v>
                </c:pt>
                <c:pt idx="120">
                  <c:v>159.09</c:v>
                </c:pt>
                <c:pt idx="121">
                  <c:v>177.27</c:v>
                </c:pt>
                <c:pt idx="122">
                  <c:v>196.59</c:v>
                </c:pt>
                <c:pt idx="123">
                  <c:v>214.77</c:v>
                </c:pt>
                <c:pt idx="124">
                  <c:v>235.23</c:v>
                </c:pt>
                <c:pt idx="125">
                  <c:v>253.41</c:v>
                </c:pt>
                <c:pt idx="126">
                  <c:v>270.45</c:v>
                </c:pt>
                <c:pt idx="127">
                  <c:v>285.23</c:v>
                </c:pt>
                <c:pt idx="128">
                  <c:v>303.41000000000003</c:v>
                </c:pt>
                <c:pt idx="129">
                  <c:v>318.18</c:v>
                </c:pt>
                <c:pt idx="130">
                  <c:v>332.95</c:v>
                </c:pt>
                <c:pt idx="131">
                  <c:v>347.73</c:v>
                </c:pt>
                <c:pt idx="132">
                  <c:v>359.09</c:v>
                </c:pt>
                <c:pt idx="133">
                  <c:v>372.73</c:v>
                </c:pt>
                <c:pt idx="134">
                  <c:v>385.23</c:v>
                </c:pt>
                <c:pt idx="135">
                  <c:v>397.73</c:v>
                </c:pt>
                <c:pt idx="136">
                  <c:v>406.82</c:v>
                </c:pt>
                <c:pt idx="137">
                  <c:v>417.05</c:v>
                </c:pt>
                <c:pt idx="138">
                  <c:v>425</c:v>
                </c:pt>
                <c:pt idx="139">
                  <c:v>436.36</c:v>
                </c:pt>
                <c:pt idx="140">
                  <c:v>439.77</c:v>
                </c:pt>
                <c:pt idx="141">
                  <c:v>451.14</c:v>
                </c:pt>
                <c:pt idx="142">
                  <c:v>459.09</c:v>
                </c:pt>
                <c:pt idx="143">
                  <c:v>467.05</c:v>
                </c:pt>
                <c:pt idx="144">
                  <c:v>475</c:v>
                </c:pt>
                <c:pt idx="145">
                  <c:v>482.95</c:v>
                </c:pt>
                <c:pt idx="146">
                  <c:v>492.05</c:v>
                </c:pt>
                <c:pt idx="147">
                  <c:v>498.86</c:v>
                </c:pt>
                <c:pt idx="148">
                  <c:v>505.68</c:v>
                </c:pt>
                <c:pt idx="149">
                  <c:v>511.36</c:v>
                </c:pt>
                <c:pt idx="150">
                  <c:v>518.17999999999995</c:v>
                </c:pt>
                <c:pt idx="151">
                  <c:v>523.86</c:v>
                </c:pt>
                <c:pt idx="152">
                  <c:v>530.67999999999995</c:v>
                </c:pt>
                <c:pt idx="153">
                  <c:v>535.23</c:v>
                </c:pt>
                <c:pt idx="154">
                  <c:v>539.77</c:v>
                </c:pt>
                <c:pt idx="155">
                  <c:v>545.45000000000005</c:v>
                </c:pt>
                <c:pt idx="156">
                  <c:v>548.86</c:v>
                </c:pt>
                <c:pt idx="157">
                  <c:v>552.27</c:v>
                </c:pt>
                <c:pt idx="158">
                  <c:v>562.5</c:v>
                </c:pt>
                <c:pt idx="159">
                  <c:v>562.5</c:v>
                </c:pt>
                <c:pt idx="160">
                  <c:v>562.5</c:v>
                </c:pt>
                <c:pt idx="161">
                  <c:v>563.64</c:v>
                </c:pt>
                <c:pt idx="162">
                  <c:v>562.5</c:v>
                </c:pt>
                <c:pt idx="163">
                  <c:v>562.5</c:v>
                </c:pt>
                <c:pt idx="164">
                  <c:v>577.27</c:v>
                </c:pt>
                <c:pt idx="165">
                  <c:v>585.23</c:v>
                </c:pt>
                <c:pt idx="166">
                  <c:v>587.5</c:v>
                </c:pt>
                <c:pt idx="167">
                  <c:v>592.04999999999995</c:v>
                </c:pt>
                <c:pt idx="168">
                  <c:v>595.45000000000005</c:v>
                </c:pt>
                <c:pt idx="169">
                  <c:v>598.86</c:v>
                </c:pt>
                <c:pt idx="170">
                  <c:v>601.14</c:v>
                </c:pt>
                <c:pt idx="171">
                  <c:v>603.41</c:v>
                </c:pt>
                <c:pt idx="172">
                  <c:v>606.82000000000005</c:v>
                </c:pt>
                <c:pt idx="173">
                  <c:v>609.09</c:v>
                </c:pt>
                <c:pt idx="174">
                  <c:v>612.5</c:v>
                </c:pt>
                <c:pt idx="175">
                  <c:v>614.77</c:v>
                </c:pt>
                <c:pt idx="176">
                  <c:v>617.04999999999995</c:v>
                </c:pt>
                <c:pt idx="177">
                  <c:v>619.32000000000005</c:v>
                </c:pt>
                <c:pt idx="178">
                  <c:v>620.45000000000005</c:v>
                </c:pt>
                <c:pt idx="179">
                  <c:v>625</c:v>
                </c:pt>
                <c:pt idx="180">
                  <c:v>630.67999999999995</c:v>
                </c:pt>
                <c:pt idx="181">
                  <c:v>631.82000000000005</c:v>
                </c:pt>
                <c:pt idx="182">
                  <c:v>636.36</c:v>
                </c:pt>
                <c:pt idx="183">
                  <c:v>637.5</c:v>
                </c:pt>
                <c:pt idx="184">
                  <c:v>637.5</c:v>
                </c:pt>
                <c:pt idx="185">
                  <c:v>639.77</c:v>
                </c:pt>
                <c:pt idx="186">
                  <c:v>644.32000000000005</c:v>
                </c:pt>
                <c:pt idx="187">
                  <c:v>643.17999999999995</c:v>
                </c:pt>
                <c:pt idx="188">
                  <c:v>645.45000000000005</c:v>
                </c:pt>
                <c:pt idx="189">
                  <c:v>646.59</c:v>
                </c:pt>
                <c:pt idx="190">
                  <c:v>648.86</c:v>
                </c:pt>
                <c:pt idx="191">
                  <c:v>651.14</c:v>
                </c:pt>
                <c:pt idx="192">
                  <c:v>653.41</c:v>
                </c:pt>
                <c:pt idx="193">
                  <c:v>654.54999999999995</c:v>
                </c:pt>
                <c:pt idx="194">
                  <c:v>656.82</c:v>
                </c:pt>
                <c:pt idx="195">
                  <c:v>656.82</c:v>
                </c:pt>
                <c:pt idx="196">
                  <c:v>656.82</c:v>
                </c:pt>
                <c:pt idx="197">
                  <c:v>657.95</c:v>
                </c:pt>
                <c:pt idx="198">
                  <c:v>656.82</c:v>
                </c:pt>
                <c:pt idx="199">
                  <c:v>659.09</c:v>
                </c:pt>
                <c:pt idx="200">
                  <c:v>664.77</c:v>
                </c:pt>
                <c:pt idx="201">
                  <c:v>676.14</c:v>
                </c:pt>
                <c:pt idx="202">
                  <c:v>684.09</c:v>
                </c:pt>
                <c:pt idx="203">
                  <c:v>687.5</c:v>
                </c:pt>
                <c:pt idx="204">
                  <c:v>686.36</c:v>
                </c:pt>
                <c:pt idx="205">
                  <c:v>687.5</c:v>
                </c:pt>
                <c:pt idx="206">
                  <c:v>687.5</c:v>
                </c:pt>
                <c:pt idx="207">
                  <c:v>688.64</c:v>
                </c:pt>
                <c:pt idx="208">
                  <c:v>687.5</c:v>
                </c:pt>
                <c:pt idx="209">
                  <c:v>687.5</c:v>
                </c:pt>
                <c:pt idx="210">
                  <c:v>687.5</c:v>
                </c:pt>
                <c:pt idx="211">
                  <c:v>688.64</c:v>
                </c:pt>
                <c:pt idx="212">
                  <c:v>688.64</c:v>
                </c:pt>
                <c:pt idx="213">
                  <c:v>687.5</c:v>
                </c:pt>
                <c:pt idx="214">
                  <c:v>688.64</c:v>
                </c:pt>
                <c:pt idx="215">
                  <c:v>689.77</c:v>
                </c:pt>
                <c:pt idx="216">
                  <c:v>687.5</c:v>
                </c:pt>
                <c:pt idx="217">
                  <c:v>688.64</c:v>
                </c:pt>
                <c:pt idx="218">
                  <c:v>688.64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78-4951-B00A-C958F6C5A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630000"/>
        <c:axId val="1040630480"/>
      </c:scatterChart>
      <c:valAx>
        <c:axId val="104063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PWM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40630480"/>
        <c:crosses val="autoZero"/>
        <c:crossBetween val="midCat"/>
      </c:valAx>
      <c:valAx>
        <c:axId val="104063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4063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RPM as a function of the PWM (No Load)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j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motor_data_no_load!$B$3:$B$221</c:f>
              <c:numCache>
                <c:formatCode>General</c:formatCode>
                <c:ptCount val="219"/>
                <c:pt idx="0">
                  <c:v>-249.95</c:v>
                </c:pt>
                <c:pt idx="1">
                  <c:v>-247.45</c:v>
                </c:pt>
                <c:pt idx="2">
                  <c:v>-244.95</c:v>
                </c:pt>
                <c:pt idx="3">
                  <c:v>-242.45</c:v>
                </c:pt>
                <c:pt idx="4">
                  <c:v>-239.95</c:v>
                </c:pt>
                <c:pt idx="5">
                  <c:v>-237.45</c:v>
                </c:pt>
                <c:pt idx="6">
                  <c:v>-234.95</c:v>
                </c:pt>
                <c:pt idx="7">
                  <c:v>-232.45</c:v>
                </c:pt>
                <c:pt idx="8">
                  <c:v>-229.95</c:v>
                </c:pt>
                <c:pt idx="9">
                  <c:v>-227.45</c:v>
                </c:pt>
                <c:pt idx="10">
                  <c:v>-224.95</c:v>
                </c:pt>
                <c:pt idx="11">
                  <c:v>-222.45</c:v>
                </c:pt>
                <c:pt idx="12">
                  <c:v>-219.95</c:v>
                </c:pt>
                <c:pt idx="13">
                  <c:v>-217.45</c:v>
                </c:pt>
                <c:pt idx="14">
                  <c:v>-214.95</c:v>
                </c:pt>
                <c:pt idx="15">
                  <c:v>-212.45</c:v>
                </c:pt>
                <c:pt idx="16">
                  <c:v>-209.95</c:v>
                </c:pt>
                <c:pt idx="17">
                  <c:v>-207.45</c:v>
                </c:pt>
                <c:pt idx="18">
                  <c:v>-204.95</c:v>
                </c:pt>
                <c:pt idx="19">
                  <c:v>-202.45</c:v>
                </c:pt>
                <c:pt idx="20">
                  <c:v>-199.95</c:v>
                </c:pt>
                <c:pt idx="21">
                  <c:v>-197.45</c:v>
                </c:pt>
                <c:pt idx="22">
                  <c:v>-194.95</c:v>
                </c:pt>
                <c:pt idx="23">
                  <c:v>-192.45</c:v>
                </c:pt>
                <c:pt idx="24">
                  <c:v>-189.95</c:v>
                </c:pt>
                <c:pt idx="25">
                  <c:v>-187.45</c:v>
                </c:pt>
                <c:pt idx="26">
                  <c:v>-184.95</c:v>
                </c:pt>
                <c:pt idx="27">
                  <c:v>-182.45</c:v>
                </c:pt>
                <c:pt idx="28">
                  <c:v>-179.95</c:v>
                </c:pt>
                <c:pt idx="29">
                  <c:v>-177.45</c:v>
                </c:pt>
                <c:pt idx="30">
                  <c:v>-174.95</c:v>
                </c:pt>
                <c:pt idx="31">
                  <c:v>-172.45</c:v>
                </c:pt>
                <c:pt idx="32">
                  <c:v>-169.95</c:v>
                </c:pt>
                <c:pt idx="33">
                  <c:v>-167.45</c:v>
                </c:pt>
                <c:pt idx="34">
                  <c:v>-164.95</c:v>
                </c:pt>
                <c:pt idx="35">
                  <c:v>-162.44999999999999</c:v>
                </c:pt>
                <c:pt idx="36">
                  <c:v>-159.94999999999999</c:v>
                </c:pt>
                <c:pt idx="37">
                  <c:v>-157.44999999999999</c:v>
                </c:pt>
                <c:pt idx="38">
                  <c:v>-154.94999999999999</c:v>
                </c:pt>
                <c:pt idx="39">
                  <c:v>-152.44999999999999</c:v>
                </c:pt>
                <c:pt idx="40">
                  <c:v>-149.94999999999999</c:v>
                </c:pt>
                <c:pt idx="41">
                  <c:v>-147.44999999999999</c:v>
                </c:pt>
                <c:pt idx="42">
                  <c:v>-144.94999999999999</c:v>
                </c:pt>
                <c:pt idx="43">
                  <c:v>-142.44999999999999</c:v>
                </c:pt>
                <c:pt idx="44">
                  <c:v>-139.94999999999999</c:v>
                </c:pt>
                <c:pt idx="45">
                  <c:v>-137.44999999999999</c:v>
                </c:pt>
                <c:pt idx="46">
                  <c:v>-134.94999999999999</c:v>
                </c:pt>
                <c:pt idx="47">
                  <c:v>-132.44999999999999</c:v>
                </c:pt>
                <c:pt idx="48">
                  <c:v>-129.94999999999999</c:v>
                </c:pt>
                <c:pt idx="49">
                  <c:v>-127.45</c:v>
                </c:pt>
                <c:pt idx="50">
                  <c:v>-124.95</c:v>
                </c:pt>
                <c:pt idx="51">
                  <c:v>-122.45</c:v>
                </c:pt>
                <c:pt idx="52">
                  <c:v>-119.95</c:v>
                </c:pt>
                <c:pt idx="53">
                  <c:v>-117.45</c:v>
                </c:pt>
                <c:pt idx="54">
                  <c:v>-114.95</c:v>
                </c:pt>
                <c:pt idx="55">
                  <c:v>-112.45</c:v>
                </c:pt>
                <c:pt idx="56">
                  <c:v>-109.95</c:v>
                </c:pt>
                <c:pt idx="57">
                  <c:v>-107.45</c:v>
                </c:pt>
                <c:pt idx="58">
                  <c:v>-104.95</c:v>
                </c:pt>
                <c:pt idx="59">
                  <c:v>-102.45</c:v>
                </c:pt>
                <c:pt idx="60">
                  <c:v>-99.95</c:v>
                </c:pt>
                <c:pt idx="61">
                  <c:v>-97.45</c:v>
                </c:pt>
                <c:pt idx="62">
                  <c:v>-94.95</c:v>
                </c:pt>
                <c:pt idx="63">
                  <c:v>-92.45</c:v>
                </c:pt>
                <c:pt idx="64">
                  <c:v>-89.95</c:v>
                </c:pt>
                <c:pt idx="65">
                  <c:v>-87.45</c:v>
                </c:pt>
                <c:pt idx="66">
                  <c:v>-84.95</c:v>
                </c:pt>
                <c:pt idx="67">
                  <c:v>-82.45</c:v>
                </c:pt>
                <c:pt idx="68">
                  <c:v>-79.95</c:v>
                </c:pt>
                <c:pt idx="69">
                  <c:v>-77.45</c:v>
                </c:pt>
                <c:pt idx="70">
                  <c:v>-74.95</c:v>
                </c:pt>
                <c:pt idx="71">
                  <c:v>-72.45</c:v>
                </c:pt>
                <c:pt idx="72">
                  <c:v>-69.95</c:v>
                </c:pt>
                <c:pt idx="73">
                  <c:v>-67.45</c:v>
                </c:pt>
                <c:pt idx="74">
                  <c:v>-64.95</c:v>
                </c:pt>
                <c:pt idx="75">
                  <c:v>-62.45</c:v>
                </c:pt>
                <c:pt idx="76">
                  <c:v>-59.95</c:v>
                </c:pt>
                <c:pt idx="77">
                  <c:v>-57.45</c:v>
                </c:pt>
                <c:pt idx="78">
                  <c:v>-54.95</c:v>
                </c:pt>
                <c:pt idx="79">
                  <c:v>-52.45</c:v>
                </c:pt>
                <c:pt idx="80">
                  <c:v>-49.95</c:v>
                </c:pt>
                <c:pt idx="81">
                  <c:v>-47.45</c:v>
                </c:pt>
                <c:pt idx="82">
                  <c:v>-44.95</c:v>
                </c:pt>
                <c:pt idx="83">
                  <c:v>-42.45</c:v>
                </c:pt>
                <c:pt idx="84">
                  <c:v>-39.950000000000003</c:v>
                </c:pt>
                <c:pt idx="85">
                  <c:v>-37.450000000000003</c:v>
                </c:pt>
                <c:pt idx="86">
                  <c:v>-34.950000000000003</c:v>
                </c:pt>
                <c:pt idx="87">
                  <c:v>-32.450000000000003</c:v>
                </c:pt>
                <c:pt idx="88">
                  <c:v>-29.95</c:v>
                </c:pt>
                <c:pt idx="89">
                  <c:v>-27.45</c:v>
                </c:pt>
                <c:pt idx="90">
                  <c:v>-24.95</c:v>
                </c:pt>
                <c:pt idx="91">
                  <c:v>-22.45</c:v>
                </c:pt>
                <c:pt idx="92">
                  <c:v>-19.95</c:v>
                </c:pt>
                <c:pt idx="93">
                  <c:v>-17.45</c:v>
                </c:pt>
                <c:pt idx="94">
                  <c:v>-14.95</c:v>
                </c:pt>
                <c:pt idx="95">
                  <c:v>-12.45</c:v>
                </c:pt>
                <c:pt idx="96">
                  <c:v>-9.9499999999999993</c:v>
                </c:pt>
                <c:pt idx="97">
                  <c:v>-7.45</c:v>
                </c:pt>
                <c:pt idx="98">
                  <c:v>-4.95</c:v>
                </c:pt>
                <c:pt idx="99">
                  <c:v>-2.4500000000000002</c:v>
                </c:pt>
                <c:pt idx="100">
                  <c:v>0.05</c:v>
                </c:pt>
                <c:pt idx="101">
                  <c:v>2.5499999999999998</c:v>
                </c:pt>
                <c:pt idx="102">
                  <c:v>5.05</c:v>
                </c:pt>
                <c:pt idx="103">
                  <c:v>7.55</c:v>
                </c:pt>
                <c:pt idx="104">
                  <c:v>10.050000000000001</c:v>
                </c:pt>
                <c:pt idx="105">
                  <c:v>12.55</c:v>
                </c:pt>
                <c:pt idx="106">
                  <c:v>15.05</c:v>
                </c:pt>
                <c:pt idx="107">
                  <c:v>17.55</c:v>
                </c:pt>
                <c:pt idx="108">
                  <c:v>20.05</c:v>
                </c:pt>
                <c:pt idx="109">
                  <c:v>22.55</c:v>
                </c:pt>
                <c:pt idx="110">
                  <c:v>25.05</c:v>
                </c:pt>
                <c:pt idx="111">
                  <c:v>27.55</c:v>
                </c:pt>
                <c:pt idx="112">
                  <c:v>30.05</c:v>
                </c:pt>
                <c:pt idx="113">
                  <c:v>32.549999999999997</c:v>
                </c:pt>
                <c:pt idx="114">
                  <c:v>35.049999999999997</c:v>
                </c:pt>
                <c:pt idx="115">
                  <c:v>37.549999999999997</c:v>
                </c:pt>
                <c:pt idx="116">
                  <c:v>40.049999999999997</c:v>
                </c:pt>
                <c:pt idx="117">
                  <c:v>42.55</c:v>
                </c:pt>
                <c:pt idx="118">
                  <c:v>45.05</c:v>
                </c:pt>
                <c:pt idx="119">
                  <c:v>47.55</c:v>
                </c:pt>
                <c:pt idx="120">
                  <c:v>50.05</c:v>
                </c:pt>
                <c:pt idx="121">
                  <c:v>52.55</c:v>
                </c:pt>
                <c:pt idx="122">
                  <c:v>55.05</c:v>
                </c:pt>
                <c:pt idx="123">
                  <c:v>57.55</c:v>
                </c:pt>
                <c:pt idx="124">
                  <c:v>60.05</c:v>
                </c:pt>
                <c:pt idx="125">
                  <c:v>62.55</c:v>
                </c:pt>
                <c:pt idx="126">
                  <c:v>65.05</c:v>
                </c:pt>
                <c:pt idx="127">
                  <c:v>67.55</c:v>
                </c:pt>
                <c:pt idx="128">
                  <c:v>70.05</c:v>
                </c:pt>
                <c:pt idx="129">
                  <c:v>72.55</c:v>
                </c:pt>
                <c:pt idx="130">
                  <c:v>75.05</c:v>
                </c:pt>
                <c:pt idx="131">
                  <c:v>77.55</c:v>
                </c:pt>
                <c:pt idx="132">
                  <c:v>80.05</c:v>
                </c:pt>
                <c:pt idx="133">
                  <c:v>82.55</c:v>
                </c:pt>
                <c:pt idx="134">
                  <c:v>85.05</c:v>
                </c:pt>
                <c:pt idx="135">
                  <c:v>87.55</c:v>
                </c:pt>
                <c:pt idx="136">
                  <c:v>90.05</c:v>
                </c:pt>
                <c:pt idx="137">
                  <c:v>92.55</c:v>
                </c:pt>
                <c:pt idx="138">
                  <c:v>95.05</c:v>
                </c:pt>
                <c:pt idx="139">
                  <c:v>97.55</c:v>
                </c:pt>
                <c:pt idx="140">
                  <c:v>100.05</c:v>
                </c:pt>
                <c:pt idx="141">
                  <c:v>102.55</c:v>
                </c:pt>
                <c:pt idx="142">
                  <c:v>105.05</c:v>
                </c:pt>
                <c:pt idx="143">
                  <c:v>107.55</c:v>
                </c:pt>
                <c:pt idx="144">
                  <c:v>110.05</c:v>
                </c:pt>
                <c:pt idx="145">
                  <c:v>112.55</c:v>
                </c:pt>
                <c:pt idx="146">
                  <c:v>115.05</c:v>
                </c:pt>
                <c:pt idx="147">
                  <c:v>117.55</c:v>
                </c:pt>
                <c:pt idx="148">
                  <c:v>120.05</c:v>
                </c:pt>
                <c:pt idx="149">
                  <c:v>122.55</c:v>
                </c:pt>
                <c:pt idx="150">
                  <c:v>125.05</c:v>
                </c:pt>
                <c:pt idx="151">
                  <c:v>127.55</c:v>
                </c:pt>
                <c:pt idx="152">
                  <c:v>130.05000000000001</c:v>
                </c:pt>
                <c:pt idx="153">
                  <c:v>132.55000000000001</c:v>
                </c:pt>
                <c:pt idx="154">
                  <c:v>135.05000000000001</c:v>
                </c:pt>
                <c:pt idx="155">
                  <c:v>137.55000000000001</c:v>
                </c:pt>
                <c:pt idx="156">
                  <c:v>140.05000000000001</c:v>
                </c:pt>
                <c:pt idx="157">
                  <c:v>142.55000000000001</c:v>
                </c:pt>
                <c:pt idx="158">
                  <c:v>145.05000000000001</c:v>
                </c:pt>
                <c:pt idx="159">
                  <c:v>147.55000000000001</c:v>
                </c:pt>
                <c:pt idx="160">
                  <c:v>150.05000000000001</c:v>
                </c:pt>
                <c:pt idx="161">
                  <c:v>152.55000000000001</c:v>
                </c:pt>
                <c:pt idx="162">
                  <c:v>155.05000000000001</c:v>
                </c:pt>
                <c:pt idx="163">
                  <c:v>157.55000000000001</c:v>
                </c:pt>
                <c:pt idx="164">
                  <c:v>160.05000000000001</c:v>
                </c:pt>
                <c:pt idx="165">
                  <c:v>162.55000000000001</c:v>
                </c:pt>
                <c:pt idx="166">
                  <c:v>165.05</c:v>
                </c:pt>
                <c:pt idx="167">
                  <c:v>167.55</c:v>
                </c:pt>
                <c:pt idx="168">
                  <c:v>170.05</c:v>
                </c:pt>
                <c:pt idx="169">
                  <c:v>172.55</c:v>
                </c:pt>
                <c:pt idx="170">
                  <c:v>175.05</c:v>
                </c:pt>
                <c:pt idx="171">
                  <c:v>177.55</c:v>
                </c:pt>
                <c:pt idx="172">
                  <c:v>180.05</c:v>
                </c:pt>
                <c:pt idx="173">
                  <c:v>182.55</c:v>
                </c:pt>
                <c:pt idx="174">
                  <c:v>185.05</c:v>
                </c:pt>
                <c:pt idx="175">
                  <c:v>187.55</c:v>
                </c:pt>
                <c:pt idx="176">
                  <c:v>190.05</c:v>
                </c:pt>
                <c:pt idx="177">
                  <c:v>192.55</c:v>
                </c:pt>
                <c:pt idx="178">
                  <c:v>195.05</c:v>
                </c:pt>
                <c:pt idx="179">
                  <c:v>197.55</c:v>
                </c:pt>
                <c:pt idx="180">
                  <c:v>200.05</c:v>
                </c:pt>
                <c:pt idx="181">
                  <c:v>202.55</c:v>
                </c:pt>
                <c:pt idx="182">
                  <c:v>205.05</c:v>
                </c:pt>
                <c:pt idx="183">
                  <c:v>207.55</c:v>
                </c:pt>
                <c:pt idx="184">
                  <c:v>210.05</c:v>
                </c:pt>
                <c:pt idx="185">
                  <c:v>212.55</c:v>
                </c:pt>
                <c:pt idx="186">
                  <c:v>215.05</c:v>
                </c:pt>
                <c:pt idx="187">
                  <c:v>217.55</c:v>
                </c:pt>
                <c:pt idx="188">
                  <c:v>220.05</c:v>
                </c:pt>
                <c:pt idx="189">
                  <c:v>222.55</c:v>
                </c:pt>
                <c:pt idx="190">
                  <c:v>225.05</c:v>
                </c:pt>
                <c:pt idx="191">
                  <c:v>227.55</c:v>
                </c:pt>
                <c:pt idx="192">
                  <c:v>230.05</c:v>
                </c:pt>
                <c:pt idx="193">
                  <c:v>232.55</c:v>
                </c:pt>
                <c:pt idx="194">
                  <c:v>235.05</c:v>
                </c:pt>
                <c:pt idx="195">
                  <c:v>237.55</c:v>
                </c:pt>
                <c:pt idx="196">
                  <c:v>240.05</c:v>
                </c:pt>
                <c:pt idx="197">
                  <c:v>242.55</c:v>
                </c:pt>
                <c:pt idx="198">
                  <c:v>245.05</c:v>
                </c:pt>
                <c:pt idx="199">
                  <c:v>247.55</c:v>
                </c:pt>
                <c:pt idx="200">
                  <c:v>250.05</c:v>
                </c:pt>
                <c:pt idx="201">
                  <c:v>252.55</c:v>
                </c:pt>
                <c:pt idx="202">
                  <c:v>255</c:v>
                </c:pt>
                <c:pt idx="203">
                  <c:v>255</c:v>
                </c:pt>
                <c:pt idx="204">
                  <c:v>255</c:v>
                </c:pt>
                <c:pt idx="205">
                  <c:v>255</c:v>
                </c:pt>
                <c:pt idx="206">
                  <c:v>255</c:v>
                </c:pt>
                <c:pt idx="207">
                  <c:v>255</c:v>
                </c:pt>
                <c:pt idx="208">
                  <c:v>255</c:v>
                </c:pt>
                <c:pt idx="209">
                  <c:v>255</c:v>
                </c:pt>
                <c:pt idx="210">
                  <c:v>255</c:v>
                </c:pt>
                <c:pt idx="211">
                  <c:v>255</c:v>
                </c:pt>
                <c:pt idx="212">
                  <c:v>255</c:v>
                </c:pt>
                <c:pt idx="213">
                  <c:v>255</c:v>
                </c:pt>
                <c:pt idx="214">
                  <c:v>255</c:v>
                </c:pt>
                <c:pt idx="215">
                  <c:v>255</c:v>
                </c:pt>
                <c:pt idx="216">
                  <c:v>255</c:v>
                </c:pt>
                <c:pt idx="217">
                  <c:v>255</c:v>
                </c:pt>
                <c:pt idx="218">
                  <c:v>255</c:v>
                </c:pt>
              </c:numCache>
            </c:numRef>
          </c:xVal>
          <c:yVal>
            <c:numRef>
              <c:f>motor_data_no_load!$H$3:$H$221</c:f>
              <c:numCache>
                <c:formatCode>General</c:formatCode>
                <c:ptCount val="219"/>
                <c:pt idx="0">
                  <c:v>-662.5</c:v>
                </c:pt>
                <c:pt idx="1">
                  <c:v>-651.14</c:v>
                </c:pt>
                <c:pt idx="2">
                  <c:v>-642.04999999999995</c:v>
                </c:pt>
                <c:pt idx="3">
                  <c:v>-639.77</c:v>
                </c:pt>
                <c:pt idx="4">
                  <c:v>-637.5</c:v>
                </c:pt>
                <c:pt idx="5">
                  <c:v>-639.77</c:v>
                </c:pt>
                <c:pt idx="6">
                  <c:v>-639.77</c:v>
                </c:pt>
                <c:pt idx="7">
                  <c:v>-638.64</c:v>
                </c:pt>
                <c:pt idx="8">
                  <c:v>-638.64</c:v>
                </c:pt>
                <c:pt idx="9">
                  <c:v>-637.5</c:v>
                </c:pt>
                <c:pt idx="10">
                  <c:v>-635.23</c:v>
                </c:pt>
                <c:pt idx="11">
                  <c:v>-631.82000000000005</c:v>
                </c:pt>
                <c:pt idx="12">
                  <c:v>-629.54999999999995</c:v>
                </c:pt>
                <c:pt idx="13">
                  <c:v>-629.54999999999995</c:v>
                </c:pt>
                <c:pt idx="14">
                  <c:v>-626.14</c:v>
                </c:pt>
                <c:pt idx="15">
                  <c:v>-626.14</c:v>
                </c:pt>
                <c:pt idx="16">
                  <c:v>-625</c:v>
                </c:pt>
                <c:pt idx="17">
                  <c:v>-622.73</c:v>
                </c:pt>
                <c:pt idx="18">
                  <c:v>-620.45000000000005</c:v>
                </c:pt>
                <c:pt idx="19">
                  <c:v>-617.04999999999995</c:v>
                </c:pt>
                <c:pt idx="20">
                  <c:v>-614.77</c:v>
                </c:pt>
                <c:pt idx="21">
                  <c:v>-613.64</c:v>
                </c:pt>
                <c:pt idx="22">
                  <c:v>-611.36</c:v>
                </c:pt>
                <c:pt idx="23">
                  <c:v>-610.23</c:v>
                </c:pt>
                <c:pt idx="24">
                  <c:v>-607.95000000000005</c:v>
                </c:pt>
                <c:pt idx="25">
                  <c:v>-604.54999999999995</c:v>
                </c:pt>
                <c:pt idx="26">
                  <c:v>-603.41</c:v>
                </c:pt>
                <c:pt idx="27">
                  <c:v>-600</c:v>
                </c:pt>
                <c:pt idx="28">
                  <c:v>-597.73</c:v>
                </c:pt>
                <c:pt idx="29">
                  <c:v>-597.73</c:v>
                </c:pt>
                <c:pt idx="30">
                  <c:v>-593.17999999999995</c:v>
                </c:pt>
                <c:pt idx="31">
                  <c:v>-592.04999999999995</c:v>
                </c:pt>
                <c:pt idx="32">
                  <c:v>-587.5</c:v>
                </c:pt>
                <c:pt idx="33">
                  <c:v>-585.23</c:v>
                </c:pt>
                <c:pt idx="34">
                  <c:v>-580.67999999999995</c:v>
                </c:pt>
                <c:pt idx="35">
                  <c:v>-578.41</c:v>
                </c:pt>
                <c:pt idx="36">
                  <c:v>-575</c:v>
                </c:pt>
                <c:pt idx="37">
                  <c:v>-569.32000000000005</c:v>
                </c:pt>
                <c:pt idx="38">
                  <c:v>-563.64</c:v>
                </c:pt>
                <c:pt idx="39">
                  <c:v>-562.5</c:v>
                </c:pt>
                <c:pt idx="40">
                  <c:v>-563.64</c:v>
                </c:pt>
                <c:pt idx="41">
                  <c:v>-563.64</c:v>
                </c:pt>
                <c:pt idx="42">
                  <c:v>-563.64</c:v>
                </c:pt>
                <c:pt idx="43">
                  <c:v>-563.64</c:v>
                </c:pt>
                <c:pt idx="44">
                  <c:v>-563.64</c:v>
                </c:pt>
                <c:pt idx="45">
                  <c:v>-563.64</c:v>
                </c:pt>
                <c:pt idx="46">
                  <c:v>-562.5</c:v>
                </c:pt>
                <c:pt idx="47">
                  <c:v>-544.32000000000005</c:v>
                </c:pt>
                <c:pt idx="48">
                  <c:v>-529.54999999999995</c:v>
                </c:pt>
                <c:pt idx="49">
                  <c:v>-522.73</c:v>
                </c:pt>
                <c:pt idx="50">
                  <c:v>-519.32000000000005</c:v>
                </c:pt>
                <c:pt idx="51">
                  <c:v>-512.5</c:v>
                </c:pt>
                <c:pt idx="52">
                  <c:v>-507.95</c:v>
                </c:pt>
                <c:pt idx="53">
                  <c:v>-501.14</c:v>
                </c:pt>
                <c:pt idx="54">
                  <c:v>-495.45</c:v>
                </c:pt>
                <c:pt idx="55">
                  <c:v>-487.5</c:v>
                </c:pt>
                <c:pt idx="56">
                  <c:v>-480.68</c:v>
                </c:pt>
                <c:pt idx="57">
                  <c:v>-475</c:v>
                </c:pt>
                <c:pt idx="58">
                  <c:v>-467.05</c:v>
                </c:pt>
                <c:pt idx="59">
                  <c:v>-460.23</c:v>
                </c:pt>
                <c:pt idx="60">
                  <c:v>-452.27</c:v>
                </c:pt>
                <c:pt idx="61">
                  <c:v>-443.18</c:v>
                </c:pt>
                <c:pt idx="62">
                  <c:v>-435.23</c:v>
                </c:pt>
                <c:pt idx="63">
                  <c:v>-426.14</c:v>
                </c:pt>
                <c:pt idx="64">
                  <c:v>-417.05</c:v>
                </c:pt>
                <c:pt idx="65">
                  <c:v>-407.95</c:v>
                </c:pt>
                <c:pt idx="66">
                  <c:v>-396.59</c:v>
                </c:pt>
                <c:pt idx="67">
                  <c:v>-386.36</c:v>
                </c:pt>
                <c:pt idx="68">
                  <c:v>-373.86</c:v>
                </c:pt>
                <c:pt idx="69">
                  <c:v>-364.77</c:v>
                </c:pt>
                <c:pt idx="70">
                  <c:v>-351.14</c:v>
                </c:pt>
                <c:pt idx="71">
                  <c:v>-339.77</c:v>
                </c:pt>
                <c:pt idx="72">
                  <c:v>-327.27</c:v>
                </c:pt>
                <c:pt idx="73">
                  <c:v>-312.5</c:v>
                </c:pt>
                <c:pt idx="74">
                  <c:v>-298.86</c:v>
                </c:pt>
                <c:pt idx="75">
                  <c:v>-282.95</c:v>
                </c:pt>
                <c:pt idx="76">
                  <c:v>-268.18</c:v>
                </c:pt>
                <c:pt idx="77">
                  <c:v>-251.14</c:v>
                </c:pt>
                <c:pt idx="78">
                  <c:v>-235.23</c:v>
                </c:pt>
                <c:pt idx="79">
                  <c:v>-217.05</c:v>
                </c:pt>
                <c:pt idx="80">
                  <c:v>-200</c:v>
                </c:pt>
                <c:pt idx="81">
                  <c:v>-181.82</c:v>
                </c:pt>
                <c:pt idx="82">
                  <c:v>-164.77</c:v>
                </c:pt>
                <c:pt idx="83">
                  <c:v>-144.32</c:v>
                </c:pt>
                <c:pt idx="84">
                  <c:v>-127.27</c:v>
                </c:pt>
                <c:pt idx="85">
                  <c:v>-107.95</c:v>
                </c:pt>
                <c:pt idx="86">
                  <c:v>-89.77</c:v>
                </c:pt>
                <c:pt idx="87">
                  <c:v>-71.59</c:v>
                </c:pt>
                <c:pt idx="88">
                  <c:v>-52.27</c:v>
                </c:pt>
                <c:pt idx="89">
                  <c:v>-36.36</c:v>
                </c:pt>
                <c:pt idx="90">
                  <c:v>-20.45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2.27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1.1399999999999999</c:v>
                </c:pt>
                <c:pt idx="115">
                  <c:v>1.1399999999999999</c:v>
                </c:pt>
                <c:pt idx="116">
                  <c:v>69.319999999999993</c:v>
                </c:pt>
                <c:pt idx="117">
                  <c:v>101.14</c:v>
                </c:pt>
                <c:pt idx="118">
                  <c:v>122.73</c:v>
                </c:pt>
                <c:pt idx="119">
                  <c:v>140.91</c:v>
                </c:pt>
                <c:pt idx="120">
                  <c:v>159.09</c:v>
                </c:pt>
                <c:pt idx="121">
                  <c:v>177.27</c:v>
                </c:pt>
                <c:pt idx="122">
                  <c:v>196.59</c:v>
                </c:pt>
                <c:pt idx="123">
                  <c:v>214.77</c:v>
                </c:pt>
                <c:pt idx="124">
                  <c:v>235.23</c:v>
                </c:pt>
                <c:pt idx="125">
                  <c:v>253.41</c:v>
                </c:pt>
                <c:pt idx="126">
                  <c:v>270.45</c:v>
                </c:pt>
                <c:pt idx="127">
                  <c:v>285.23</c:v>
                </c:pt>
                <c:pt idx="128">
                  <c:v>303.41000000000003</c:v>
                </c:pt>
                <c:pt idx="129">
                  <c:v>318.18</c:v>
                </c:pt>
                <c:pt idx="130">
                  <c:v>332.95</c:v>
                </c:pt>
                <c:pt idx="131">
                  <c:v>347.73</c:v>
                </c:pt>
                <c:pt idx="132">
                  <c:v>359.09</c:v>
                </c:pt>
                <c:pt idx="133">
                  <c:v>372.73</c:v>
                </c:pt>
                <c:pt idx="134">
                  <c:v>385.23</c:v>
                </c:pt>
                <c:pt idx="135">
                  <c:v>397.73</c:v>
                </c:pt>
                <c:pt idx="136">
                  <c:v>406.82</c:v>
                </c:pt>
                <c:pt idx="137">
                  <c:v>417.05</c:v>
                </c:pt>
                <c:pt idx="138">
                  <c:v>425</c:v>
                </c:pt>
                <c:pt idx="139">
                  <c:v>436.36</c:v>
                </c:pt>
                <c:pt idx="140">
                  <c:v>439.77</c:v>
                </c:pt>
                <c:pt idx="141">
                  <c:v>451.14</c:v>
                </c:pt>
                <c:pt idx="142">
                  <c:v>459.09</c:v>
                </c:pt>
                <c:pt idx="143">
                  <c:v>467.05</c:v>
                </c:pt>
                <c:pt idx="144">
                  <c:v>475</c:v>
                </c:pt>
                <c:pt idx="145">
                  <c:v>482.95</c:v>
                </c:pt>
                <c:pt idx="146">
                  <c:v>492.05</c:v>
                </c:pt>
                <c:pt idx="147">
                  <c:v>498.86</c:v>
                </c:pt>
                <c:pt idx="148">
                  <c:v>505.68</c:v>
                </c:pt>
                <c:pt idx="149">
                  <c:v>511.36</c:v>
                </c:pt>
                <c:pt idx="150">
                  <c:v>518.17999999999995</c:v>
                </c:pt>
                <c:pt idx="151">
                  <c:v>523.86</c:v>
                </c:pt>
                <c:pt idx="152">
                  <c:v>530.67999999999995</c:v>
                </c:pt>
                <c:pt idx="153">
                  <c:v>535.23</c:v>
                </c:pt>
                <c:pt idx="154">
                  <c:v>539.77</c:v>
                </c:pt>
                <c:pt idx="155">
                  <c:v>545.45000000000005</c:v>
                </c:pt>
                <c:pt idx="156">
                  <c:v>548.86</c:v>
                </c:pt>
                <c:pt idx="157">
                  <c:v>552.27</c:v>
                </c:pt>
                <c:pt idx="158">
                  <c:v>562.5</c:v>
                </c:pt>
                <c:pt idx="159">
                  <c:v>562.5</c:v>
                </c:pt>
                <c:pt idx="160">
                  <c:v>562.5</c:v>
                </c:pt>
                <c:pt idx="161">
                  <c:v>563.64</c:v>
                </c:pt>
                <c:pt idx="162">
                  <c:v>562.5</c:v>
                </c:pt>
                <c:pt idx="163">
                  <c:v>562.5</c:v>
                </c:pt>
                <c:pt idx="164">
                  <c:v>577.27</c:v>
                </c:pt>
                <c:pt idx="165">
                  <c:v>585.23</c:v>
                </c:pt>
                <c:pt idx="166">
                  <c:v>587.5</c:v>
                </c:pt>
                <c:pt idx="167">
                  <c:v>592.04999999999995</c:v>
                </c:pt>
                <c:pt idx="168">
                  <c:v>595.45000000000005</c:v>
                </c:pt>
                <c:pt idx="169">
                  <c:v>598.86</c:v>
                </c:pt>
                <c:pt idx="170">
                  <c:v>601.14</c:v>
                </c:pt>
                <c:pt idx="171">
                  <c:v>603.41</c:v>
                </c:pt>
                <c:pt idx="172">
                  <c:v>606.82000000000005</c:v>
                </c:pt>
                <c:pt idx="173">
                  <c:v>609.09</c:v>
                </c:pt>
                <c:pt idx="174">
                  <c:v>612.5</c:v>
                </c:pt>
                <c:pt idx="175">
                  <c:v>614.77</c:v>
                </c:pt>
                <c:pt idx="176">
                  <c:v>617.04999999999995</c:v>
                </c:pt>
                <c:pt idx="177">
                  <c:v>619.32000000000005</c:v>
                </c:pt>
                <c:pt idx="178">
                  <c:v>620.45000000000005</c:v>
                </c:pt>
                <c:pt idx="179">
                  <c:v>625</c:v>
                </c:pt>
                <c:pt idx="180">
                  <c:v>630.67999999999995</c:v>
                </c:pt>
                <c:pt idx="181">
                  <c:v>631.82000000000005</c:v>
                </c:pt>
                <c:pt idx="182">
                  <c:v>636.36</c:v>
                </c:pt>
                <c:pt idx="183">
                  <c:v>637.5</c:v>
                </c:pt>
                <c:pt idx="184">
                  <c:v>637.5</c:v>
                </c:pt>
                <c:pt idx="185">
                  <c:v>639.77</c:v>
                </c:pt>
                <c:pt idx="186">
                  <c:v>644.32000000000005</c:v>
                </c:pt>
                <c:pt idx="187">
                  <c:v>643.17999999999995</c:v>
                </c:pt>
                <c:pt idx="188">
                  <c:v>645.45000000000005</c:v>
                </c:pt>
                <c:pt idx="189">
                  <c:v>646.59</c:v>
                </c:pt>
                <c:pt idx="190">
                  <c:v>648.86</c:v>
                </c:pt>
                <c:pt idx="191">
                  <c:v>651.14</c:v>
                </c:pt>
                <c:pt idx="192">
                  <c:v>653.41</c:v>
                </c:pt>
                <c:pt idx="193">
                  <c:v>654.54999999999995</c:v>
                </c:pt>
                <c:pt idx="194">
                  <c:v>656.82</c:v>
                </c:pt>
                <c:pt idx="195">
                  <c:v>656.82</c:v>
                </c:pt>
                <c:pt idx="196">
                  <c:v>656.82</c:v>
                </c:pt>
                <c:pt idx="197">
                  <c:v>657.95</c:v>
                </c:pt>
                <c:pt idx="198">
                  <c:v>656.82</c:v>
                </c:pt>
                <c:pt idx="199">
                  <c:v>659.09</c:v>
                </c:pt>
                <c:pt idx="200">
                  <c:v>664.77</c:v>
                </c:pt>
                <c:pt idx="201">
                  <c:v>676.14</c:v>
                </c:pt>
                <c:pt idx="202">
                  <c:v>684.09</c:v>
                </c:pt>
                <c:pt idx="203">
                  <c:v>687.5</c:v>
                </c:pt>
                <c:pt idx="204">
                  <c:v>686.36</c:v>
                </c:pt>
                <c:pt idx="205">
                  <c:v>687.5</c:v>
                </c:pt>
                <c:pt idx="206">
                  <c:v>687.5</c:v>
                </c:pt>
                <c:pt idx="207">
                  <c:v>688.64</c:v>
                </c:pt>
                <c:pt idx="208">
                  <c:v>687.5</c:v>
                </c:pt>
                <c:pt idx="209">
                  <c:v>687.5</c:v>
                </c:pt>
                <c:pt idx="210">
                  <c:v>687.5</c:v>
                </c:pt>
                <c:pt idx="211">
                  <c:v>688.64</c:v>
                </c:pt>
                <c:pt idx="212">
                  <c:v>688.64</c:v>
                </c:pt>
                <c:pt idx="213">
                  <c:v>687.5</c:v>
                </c:pt>
                <c:pt idx="214">
                  <c:v>688.64</c:v>
                </c:pt>
                <c:pt idx="215">
                  <c:v>689.77</c:v>
                </c:pt>
                <c:pt idx="216">
                  <c:v>687.5</c:v>
                </c:pt>
                <c:pt idx="217">
                  <c:v>688.64</c:v>
                </c:pt>
                <c:pt idx="218">
                  <c:v>688.64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D8-4BEF-B7DF-EAAF7C7BE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630000"/>
        <c:axId val="1040630480"/>
      </c:scatterChart>
      <c:valAx>
        <c:axId val="104063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PWM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40630480"/>
        <c:crosses val="autoZero"/>
        <c:crossBetween val="midCat"/>
      </c:valAx>
      <c:valAx>
        <c:axId val="104063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4063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176212</xdr:rowOff>
    </xdr:from>
    <xdr:to>
      <xdr:col>16</xdr:col>
      <xdr:colOff>304800</xdr:colOff>
      <xdr:row>16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F04FEA-B326-B154-CE03-5F66FF443B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18</xdr:row>
      <xdr:rowOff>85725</xdr:rowOff>
    </xdr:from>
    <xdr:to>
      <xdr:col>16</xdr:col>
      <xdr:colOff>314325</xdr:colOff>
      <xdr:row>32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1BE035-9CE3-4772-BE72-8F191672C6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2B39500-3DB7-4894-849F-BE0976E64B34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Time (s)" tableColumnId="1"/>
      <queryTableField id="2" name="Output" tableColumnId="2"/>
      <queryTableField id="3" name="Frequency (Hz)" tableColumnId="3"/>
      <queryTableField id="4" name="RPM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ACE868-448B-4D3F-8E30-9742B259D0E6}" name="motor_data_no_load" displayName="motor_data_no_load" ref="A1:E221" tableType="queryTable" totalsRowShown="0">
  <autoFilter ref="A1:E221" xr:uid="{7EACE868-448B-4D3F-8E30-9742B259D0E6}"/>
  <tableColumns count="5">
    <tableColumn id="1" xr3:uid="{3295D3B4-5538-4E54-A588-3FB738AD79FB}" uniqueName="1" name="Time (s)" queryTableFieldId="1"/>
    <tableColumn id="2" xr3:uid="{494912B1-5EE8-4C8D-A0AC-E5FF101F1205}" uniqueName="2" name="Output" queryTableFieldId="2" dataDxfId="3"/>
    <tableColumn id="3" xr3:uid="{41B8C5A6-FCC1-4C84-AE34-A5229340318D}" uniqueName="3" name="Frequency (Hz)" queryTableFieldId="3" dataDxfId="2"/>
    <tableColumn id="4" xr3:uid="{5D25A420-2A1C-4F2C-97E5-920A256CCCC6}" uniqueName="4" name="RPM" queryTableFieldId="4" dataDxfId="1"/>
    <tableColumn id="5" xr3:uid="{99702A0B-A5F0-4504-A4BB-B9CB57F43BDC}" uniqueName="5" name="normalized time" queryTableFieldId="5" dataDxfId="0">
      <calculatedColumnFormula>motor_data_no_load[[#This Row],[Time (s)]]-1764251518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FB68-4466-400E-891C-E298CE3FA137}">
  <dimension ref="A1:H221"/>
  <sheetViews>
    <sheetView tabSelected="1" workbookViewId="0">
      <selection activeCell="T19" sqref="T19"/>
    </sheetView>
  </sheetViews>
  <sheetFormatPr defaultRowHeight="15" x14ac:dyDescent="0.25"/>
  <cols>
    <col min="1" max="1" width="11" bestFit="1" customWidth="1"/>
    <col min="2" max="2" width="9.5703125" bestFit="1" customWidth="1"/>
    <col min="3" max="3" width="17" bestFit="1" customWidth="1"/>
    <col min="4" max="4" width="7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152</v>
      </c>
    </row>
    <row r="2" spans="1:8" x14ac:dyDescent="0.25">
      <c r="A2">
        <v>1764251518</v>
      </c>
      <c r="B2" s="1">
        <v>-252.45</v>
      </c>
      <c r="C2" s="1" t="s">
        <v>5</v>
      </c>
      <c r="D2" s="1">
        <v>568.17999999999995</v>
      </c>
      <c r="E2" s="1">
        <f>motor_data_no_load[[#This Row],[Time (s)]]-1764251518</f>
        <v>0</v>
      </c>
      <c r="F2" t="s">
        <v>151</v>
      </c>
    </row>
    <row r="3" spans="1:8" x14ac:dyDescent="0.25">
      <c r="A3">
        <v>1764251519</v>
      </c>
      <c r="B3" s="1">
        <v>-249.95</v>
      </c>
      <c r="C3" s="1" t="s">
        <v>6</v>
      </c>
      <c r="D3" s="1">
        <v>662.5</v>
      </c>
      <c r="E3" s="1">
        <f>motor_data_no_load[[#This Row],[Time (s)]]-1764251518</f>
        <v>1</v>
      </c>
      <c r="H3">
        <f>motor_data_no_load[[#This Row],[RPM]]*(-1)</f>
        <v>-662.5</v>
      </c>
    </row>
    <row r="4" spans="1:8" x14ac:dyDescent="0.25">
      <c r="A4">
        <v>1764251520</v>
      </c>
      <c r="B4" s="1">
        <v>-247.45</v>
      </c>
      <c r="C4" s="1" t="s">
        <v>7</v>
      </c>
      <c r="D4" s="1">
        <v>651.14</v>
      </c>
      <c r="E4" s="1">
        <f>motor_data_no_load[[#This Row],[Time (s)]]-1764251518</f>
        <v>2</v>
      </c>
      <c r="H4">
        <f>motor_data_no_load[[#This Row],[RPM]]*(-1)</f>
        <v>-651.14</v>
      </c>
    </row>
    <row r="5" spans="1:8" x14ac:dyDescent="0.25">
      <c r="A5">
        <v>1764251520</v>
      </c>
      <c r="B5" s="1">
        <v>-244.95</v>
      </c>
      <c r="C5" s="1" t="s">
        <v>8</v>
      </c>
      <c r="D5" s="1">
        <v>642.04999999999995</v>
      </c>
      <c r="E5" s="1">
        <f>motor_data_no_load[[#This Row],[Time (s)]]-1764251518</f>
        <v>2</v>
      </c>
      <c r="H5">
        <f>motor_data_no_load[[#This Row],[RPM]]*(-1)</f>
        <v>-642.04999999999995</v>
      </c>
    </row>
    <row r="6" spans="1:8" x14ac:dyDescent="0.25">
      <c r="A6">
        <v>1764251521</v>
      </c>
      <c r="B6" s="1">
        <v>-242.45</v>
      </c>
      <c r="C6" s="1" t="s">
        <v>9</v>
      </c>
      <c r="D6" s="1">
        <v>639.77</v>
      </c>
      <c r="E6" s="1">
        <f>motor_data_no_load[[#This Row],[Time (s)]]-1764251518</f>
        <v>3</v>
      </c>
      <c r="H6">
        <f>motor_data_no_load[[#This Row],[RPM]]*(-1)</f>
        <v>-639.77</v>
      </c>
    </row>
    <row r="7" spans="1:8" x14ac:dyDescent="0.25">
      <c r="A7">
        <v>1764251521</v>
      </c>
      <c r="B7" s="1">
        <v>-239.95</v>
      </c>
      <c r="C7" s="1" t="s">
        <v>10</v>
      </c>
      <c r="D7" s="1">
        <v>637.5</v>
      </c>
      <c r="E7" s="1">
        <f>motor_data_no_load[[#This Row],[Time (s)]]-1764251518</f>
        <v>3</v>
      </c>
      <c r="H7">
        <f>motor_data_no_load[[#This Row],[RPM]]*(-1)</f>
        <v>-637.5</v>
      </c>
    </row>
    <row r="8" spans="1:8" x14ac:dyDescent="0.25">
      <c r="A8">
        <v>1764251522</v>
      </c>
      <c r="B8" s="1">
        <v>-237.45</v>
      </c>
      <c r="C8" s="1" t="s">
        <v>9</v>
      </c>
      <c r="D8" s="1">
        <v>639.77</v>
      </c>
      <c r="E8" s="1">
        <f>motor_data_no_load[[#This Row],[Time (s)]]-1764251518</f>
        <v>4</v>
      </c>
      <c r="H8">
        <f>motor_data_no_load[[#This Row],[RPM]]*(-1)</f>
        <v>-639.77</v>
      </c>
    </row>
    <row r="9" spans="1:8" x14ac:dyDescent="0.25">
      <c r="A9">
        <v>1764251522</v>
      </c>
      <c r="B9" s="1">
        <v>-234.95</v>
      </c>
      <c r="C9" s="1" t="s">
        <v>9</v>
      </c>
      <c r="D9" s="1">
        <v>639.77</v>
      </c>
      <c r="E9" s="1">
        <f>motor_data_no_load[[#This Row],[Time (s)]]-1764251518</f>
        <v>4</v>
      </c>
      <c r="H9">
        <f>motor_data_no_load[[#This Row],[RPM]]*(-1)</f>
        <v>-639.77</v>
      </c>
    </row>
    <row r="10" spans="1:8" x14ac:dyDescent="0.25">
      <c r="A10">
        <v>1764251523</v>
      </c>
      <c r="B10" s="1">
        <v>-232.45</v>
      </c>
      <c r="C10" s="1" t="s">
        <v>11</v>
      </c>
      <c r="D10" s="1">
        <v>638.64</v>
      </c>
      <c r="E10" s="1">
        <f>motor_data_no_load[[#This Row],[Time (s)]]-1764251518</f>
        <v>5</v>
      </c>
      <c r="H10">
        <f>motor_data_no_load[[#This Row],[RPM]]*(-1)</f>
        <v>-638.64</v>
      </c>
    </row>
    <row r="11" spans="1:8" x14ac:dyDescent="0.25">
      <c r="A11">
        <v>1764251523</v>
      </c>
      <c r="B11" s="1">
        <v>-229.95</v>
      </c>
      <c r="C11" s="1" t="s">
        <v>11</v>
      </c>
      <c r="D11" s="1">
        <v>638.64</v>
      </c>
      <c r="E11" s="1">
        <f>motor_data_no_load[[#This Row],[Time (s)]]-1764251518</f>
        <v>5</v>
      </c>
      <c r="H11">
        <f>motor_data_no_load[[#This Row],[RPM]]*(-1)</f>
        <v>-638.64</v>
      </c>
    </row>
    <row r="12" spans="1:8" x14ac:dyDescent="0.25">
      <c r="A12">
        <v>1764251524</v>
      </c>
      <c r="B12" s="1">
        <v>-227.45</v>
      </c>
      <c r="C12" s="1" t="s">
        <v>10</v>
      </c>
      <c r="D12" s="1">
        <v>637.5</v>
      </c>
      <c r="E12" s="1">
        <f>motor_data_no_load[[#This Row],[Time (s)]]-1764251518</f>
        <v>6</v>
      </c>
      <c r="H12">
        <f>motor_data_no_load[[#This Row],[RPM]]*(-1)</f>
        <v>-637.5</v>
      </c>
    </row>
    <row r="13" spans="1:8" x14ac:dyDescent="0.25">
      <c r="A13">
        <v>1764251525</v>
      </c>
      <c r="B13" s="1">
        <v>-224.95</v>
      </c>
      <c r="C13" s="1" t="s">
        <v>12</v>
      </c>
      <c r="D13" s="1">
        <v>635.23</v>
      </c>
      <c r="E13" s="1">
        <f>motor_data_no_load[[#This Row],[Time (s)]]-1764251518</f>
        <v>7</v>
      </c>
      <c r="H13">
        <f>motor_data_no_load[[#This Row],[RPM]]*(-1)</f>
        <v>-635.23</v>
      </c>
    </row>
    <row r="14" spans="1:8" x14ac:dyDescent="0.25">
      <c r="A14">
        <v>1764251525</v>
      </c>
      <c r="B14" s="1">
        <v>-222.45</v>
      </c>
      <c r="C14" s="1" t="s">
        <v>13</v>
      </c>
      <c r="D14" s="1">
        <v>631.82000000000005</v>
      </c>
      <c r="E14" s="1">
        <f>motor_data_no_load[[#This Row],[Time (s)]]-1764251518</f>
        <v>7</v>
      </c>
      <c r="H14">
        <f>motor_data_no_load[[#This Row],[RPM]]*(-1)</f>
        <v>-631.82000000000005</v>
      </c>
    </row>
    <row r="15" spans="1:8" x14ac:dyDescent="0.25">
      <c r="A15">
        <v>1764251526</v>
      </c>
      <c r="B15" s="1">
        <v>-219.95</v>
      </c>
      <c r="C15" s="1" t="s">
        <v>14</v>
      </c>
      <c r="D15" s="1">
        <v>629.54999999999995</v>
      </c>
      <c r="E15" s="1">
        <f>motor_data_no_load[[#This Row],[Time (s)]]-1764251518</f>
        <v>8</v>
      </c>
      <c r="H15">
        <f>motor_data_no_load[[#This Row],[RPM]]*(-1)</f>
        <v>-629.54999999999995</v>
      </c>
    </row>
    <row r="16" spans="1:8" x14ac:dyDescent="0.25">
      <c r="A16">
        <v>1764251526</v>
      </c>
      <c r="B16" s="1">
        <v>-217.45</v>
      </c>
      <c r="C16" s="1" t="s">
        <v>14</v>
      </c>
      <c r="D16" s="1">
        <v>629.54999999999995</v>
      </c>
      <c r="E16" s="1">
        <f>motor_data_no_load[[#This Row],[Time (s)]]-1764251518</f>
        <v>8</v>
      </c>
      <c r="H16">
        <f>motor_data_no_load[[#This Row],[RPM]]*(-1)</f>
        <v>-629.54999999999995</v>
      </c>
    </row>
    <row r="17" spans="1:8" x14ac:dyDescent="0.25">
      <c r="A17">
        <v>1764251527</v>
      </c>
      <c r="B17" s="1">
        <v>-214.95</v>
      </c>
      <c r="C17" s="1" t="s">
        <v>15</v>
      </c>
      <c r="D17" s="1">
        <v>626.14</v>
      </c>
      <c r="E17" s="1">
        <f>motor_data_no_load[[#This Row],[Time (s)]]-1764251518</f>
        <v>9</v>
      </c>
      <c r="H17">
        <f>motor_data_no_load[[#This Row],[RPM]]*(-1)</f>
        <v>-626.14</v>
      </c>
    </row>
    <row r="18" spans="1:8" x14ac:dyDescent="0.25">
      <c r="A18">
        <v>1764251527</v>
      </c>
      <c r="B18" s="1">
        <v>-212.45</v>
      </c>
      <c r="C18" s="1" t="s">
        <v>15</v>
      </c>
      <c r="D18" s="1">
        <v>626.14</v>
      </c>
      <c r="E18" s="1">
        <f>motor_data_no_load[[#This Row],[Time (s)]]-1764251518</f>
        <v>9</v>
      </c>
      <c r="H18">
        <f>motor_data_no_load[[#This Row],[RPM]]*(-1)</f>
        <v>-626.14</v>
      </c>
    </row>
    <row r="19" spans="1:8" x14ac:dyDescent="0.25">
      <c r="A19">
        <v>1764251528</v>
      </c>
      <c r="B19" s="1">
        <v>-209.95</v>
      </c>
      <c r="C19" s="1" t="s">
        <v>16</v>
      </c>
      <c r="D19" s="1">
        <v>625</v>
      </c>
      <c r="E19" s="1">
        <f>motor_data_no_load[[#This Row],[Time (s)]]-1764251518</f>
        <v>10</v>
      </c>
      <c r="H19">
        <f>motor_data_no_load[[#This Row],[RPM]]*(-1)</f>
        <v>-625</v>
      </c>
    </row>
    <row r="20" spans="1:8" x14ac:dyDescent="0.25">
      <c r="A20">
        <v>1764251528</v>
      </c>
      <c r="B20" s="1">
        <v>-207.45</v>
      </c>
      <c r="C20" s="1" t="s">
        <v>17</v>
      </c>
      <c r="D20" s="1">
        <v>622.73</v>
      </c>
      <c r="E20" s="1">
        <f>motor_data_no_load[[#This Row],[Time (s)]]-1764251518</f>
        <v>10</v>
      </c>
      <c r="H20">
        <f>motor_data_no_load[[#This Row],[RPM]]*(-1)</f>
        <v>-622.73</v>
      </c>
    </row>
    <row r="21" spans="1:8" x14ac:dyDescent="0.25">
      <c r="A21">
        <v>1764251529</v>
      </c>
      <c r="B21" s="1">
        <v>-204.95</v>
      </c>
      <c r="C21" s="1" t="s">
        <v>18</v>
      </c>
      <c r="D21" s="1">
        <v>620.45000000000005</v>
      </c>
      <c r="E21" s="1">
        <f>motor_data_no_load[[#This Row],[Time (s)]]-1764251518</f>
        <v>11</v>
      </c>
      <c r="H21">
        <f>motor_data_no_load[[#This Row],[RPM]]*(-1)</f>
        <v>-620.45000000000005</v>
      </c>
    </row>
    <row r="22" spans="1:8" x14ac:dyDescent="0.25">
      <c r="A22">
        <v>1764251530</v>
      </c>
      <c r="B22" s="1">
        <v>-202.45</v>
      </c>
      <c r="C22" s="1" t="s">
        <v>19</v>
      </c>
      <c r="D22" s="1">
        <v>617.04999999999995</v>
      </c>
      <c r="E22" s="1">
        <f>motor_data_no_load[[#This Row],[Time (s)]]-1764251518</f>
        <v>12</v>
      </c>
      <c r="H22">
        <f>motor_data_no_load[[#This Row],[RPM]]*(-1)</f>
        <v>-617.04999999999995</v>
      </c>
    </row>
    <row r="23" spans="1:8" x14ac:dyDescent="0.25">
      <c r="A23">
        <v>1764251530</v>
      </c>
      <c r="B23" s="1">
        <v>-199.95</v>
      </c>
      <c r="C23" s="1" t="s">
        <v>20</v>
      </c>
      <c r="D23" s="1">
        <v>614.77</v>
      </c>
      <c r="E23" s="1">
        <f>motor_data_no_load[[#This Row],[Time (s)]]-1764251518</f>
        <v>12</v>
      </c>
      <c r="H23">
        <f>motor_data_no_load[[#This Row],[RPM]]*(-1)</f>
        <v>-614.77</v>
      </c>
    </row>
    <row r="24" spans="1:8" x14ac:dyDescent="0.25">
      <c r="A24">
        <v>1764251531</v>
      </c>
      <c r="B24" s="1">
        <v>-197.45</v>
      </c>
      <c r="C24" s="1" t="s">
        <v>21</v>
      </c>
      <c r="D24" s="1">
        <v>613.64</v>
      </c>
      <c r="E24" s="1">
        <f>motor_data_no_load[[#This Row],[Time (s)]]-1764251518</f>
        <v>13</v>
      </c>
      <c r="H24">
        <f>motor_data_no_load[[#This Row],[RPM]]*(-1)</f>
        <v>-613.64</v>
      </c>
    </row>
    <row r="25" spans="1:8" x14ac:dyDescent="0.25">
      <c r="A25">
        <v>1764251531</v>
      </c>
      <c r="B25" s="1">
        <v>-194.95</v>
      </c>
      <c r="C25" s="1" t="s">
        <v>22</v>
      </c>
      <c r="D25" s="1">
        <v>611.36</v>
      </c>
      <c r="E25" s="1">
        <f>motor_data_no_load[[#This Row],[Time (s)]]-1764251518</f>
        <v>13</v>
      </c>
      <c r="H25">
        <f>motor_data_no_load[[#This Row],[RPM]]*(-1)</f>
        <v>-611.36</v>
      </c>
    </row>
    <row r="26" spans="1:8" x14ac:dyDescent="0.25">
      <c r="A26">
        <v>1764251532</v>
      </c>
      <c r="B26" s="1">
        <v>-192.45</v>
      </c>
      <c r="C26" s="1" t="s">
        <v>23</v>
      </c>
      <c r="D26" s="1">
        <v>610.23</v>
      </c>
      <c r="E26" s="1">
        <f>motor_data_no_load[[#This Row],[Time (s)]]-1764251518</f>
        <v>14</v>
      </c>
      <c r="H26">
        <f>motor_data_no_load[[#This Row],[RPM]]*(-1)</f>
        <v>-610.23</v>
      </c>
    </row>
    <row r="27" spans="1:8" x14ac:dyDescent="0.25">
      <c r="A27">
        <v>1764251532</v>
      </c>
      <c r="B27" s="1">
        <v>-189.95</v>
      </c>
      <c r="C27" s="1" t="s">
        <v>24</v>
      </c>
      <c r="D27" s="1">
        <v>607.95000000000005</v>
      </c>
      <c r="E27" s="1">
        <f>motor_data_no_load[[#This Row],[Time (s)]]-1764251518</f>
        <v>14</v>
      </c>
      <c r="H27">
        <f>motor_data_no_load[[#This Row],[RPM]]*(-1)</f>
        <v>-607.95000000000005</v>
      </c>
    </row>
    <row r="28" spans="1:8" x14ac:dyDescent="0.25">
      <c r="A28">
        <v>1764251533</v>
      </c>
      <c r="B28" s="1">
        <v>-187.45</v>
      </c>
      <c r="C28" s="1" t="s">
        <v>25</v>
      </c>
      <c r="D28" s="1">
        <v>604.54999999999995</v>
      </c>
      <c r="E28" s="1">
        <f>motor_data_no_load[[#This Row],[Time (s)]]-1764251518</f>
        <v>15</v>
      </c>
      <c r="H28">
        <f>motor_data_no_load[[#This Row],[RPM]]*(-1)</f>
        <v>-604.54999999999995</v>
      </c>
    </row>
    <row r="29" spans="1:8" x14ac:dyDescent="0.25">
      <c r="A29">
        <v>1764251533</v>
      </c>
      <c r="B29" s="1">
        <v>-184.95</v>
      </c>
      <c r="C29" s="1" t="s">
        <v>26</v>
      </c>
      <c r="D29" s="1">
        <v>603.41</v>
      </c>
      <c r="E29" s="1">
        <f>motor_data_no_load[[#This Row],[Time (s)]]-1764251518</f>
        <v>15</v>
      </c>
      <c r="H29">
        <f>motor_data_no_load[[#This Row],[RPM]]*(-1)</f>
        <v>-603.41</v>
      </c>
    </row>
    <row r="30" spans="1:8" x14ac:dyDescent="0.25">
      <c r="A30">
        <v>1764251534</v>
      </c>
      <c r="B30" s="1">
        <v>-182.45</v>
      </c>
      <c r="C30" s="1" t="s">
        <v>27</v>
      </c>
      <c r="D30" s="1">
        <v>600</v>
      </c>
      <c r="E30" s="1">
        <f>motor_data_no_load[[#This Row],[Time (s)]]-1764251518</f>
        <v>16</v>
      </c>
      <c r="H30">
        <f>motor_data_no_load[[#This Row],[RPM]]*(-1)</f>
        <v>-600</v>
      </c>
    </row>
    <row r="31" spans="1:8" x14ac:dyDescent="0.25">
      <c r="A31">
        <v>1764251534</v>
      </c>
      <c r="B31" s="1">
        <v>-179.95</v>
      </c>
      <c r="C31" s="1" t="s">
        <v>28</v>
      </c>
      <c r="D31" s="1">
        <v>597.73</v>
      </c>
      <c r="E31" s="1">
        <f>motor_data_no_load[[#This Row],[Time (s)]]-1764251518</f>
        <v>16</v>
      </c>
      <c r="H31">
        <f>motor_data_no_load[[#This Row],[RPM]]*(-1)</f>
        <v>-597.73</v>
      </c>
    </row>
    <row r="32" spans="1:8" x14ac:dyDescent="0.25">
      <c r="A32">
        <v>1764251535</v>
      </c>
      <c r="B32" s="1">
        <v>-177.45</v>
      </c>
      <c r="C32" s="1" t="s">
        <v>28</v>
      </c>
      <c r="D32" s="1">
        <v>597.73</v>
      </c>
      <c r="E32" s="1">
        <f>motor_data_no_load[[#This Row],[Time (s)]]-1764251518</f>
        <v>17</v>
      </c>
      <c r="H32">
        <f>motor_data_no_load[[#This Row],[RPM]]*(-1)</f>
        <v>-597.73</v>
      </c>
    </row>
    <row r="33" spans="1:8" x14ac:dyDescent="0.25">
      <c r="A33">
        <v>1764251536</v>
      </c>
      <c r="B33" s="1">
        <v>-174.95</v>
      </c>
      <c r="C33" s="1" t="s">
        <v>29</v>
      </c>
      <c r="D33" s="1">
        <v>593.17999999999995</v>
      </c>
      <c r="E33" s="1">
        <f>motor_data_no_load[[#This Row],[Time (s)]]-1764251518</f>
        <v>18</v>
      </c>
      <c r="H33">
        <f>motor_data_no_load[[#This Row],[RPM]]*(-1)</f>
        <v>-593.17999999999995</v>
      </c>
    </row>
    <row r="34" spans="1:8" x14ac:dyDescent="0.25">
      <c r="A34">
        <v>1764251536</v>
      </c>
      <c r="B34" s="1">
        <v>-172.45</v>
      </c>
      <c r="C34" s="1" t="s">
        <v>30</v>
      </c>
      <c r="D34" s="1">
        <v>592.04999999999995</v>
      </c>
      <c r="E34" s="1">
        <f>motor_data_no_load[[#This Row],[Time (s)]]-1764251518</f>
        <v>18</v>
      </c>
      <c r="H34">
        <f>motor_data_no_load[[#This Row],[RPM]]*(-1)</f>
        <v>-592.04999999999995</v>
      </c>
    </row>
    <row r="35" spans="1:8" x14ac:dyDescent="0.25">
      <c r="A35">
        <v>1764251537</v>
      </c>
      <c r="B35" s="1">
        <v>-169.95</v>
      </c>
      <c r="C35" s="1" t="s">
        <v>31</v>
      </c>
      <c r="D35" s="1">
        <v>587.5</v>
      </c>
      <c r="E35" s="1">
        <f>motor_data_no_load[[#This Row],[Time (s)]]-1764251518</f>
        <v>19</v>
      </c>
      <c r="H35">
        <f>motor_data_no_load[[#This Row],[RPM]]*(-1)</f>
        <v>-587.5</v>
      </c>
    </row>
    <row r="36" spans="1:8" x14ac:dyDescent="0.25">
      <c r="A36">
        <v>1764251537</v>
      </c>
      <c r="B36" s="1">
        <v>-167.45</v>
      </c>
      <c r="C36" s="1" t="s">
        <v>32</v>
      </c>
      <c r="D36" s="1">
        <v>585.23</v>
      </c>
      <c r="E36" s="1">
        <f>motor_data_no_load[[#This Row],[Time (s)]]-1764251518</f>
        <v>19</v>
      </c>
      <c r="H36">
        <f>motor_data_no_load[[#This Row],[RPM]]*(-1)</f>
        <v>-585.23</v>
      </c>
    </row>
    <row r="37" spans="1:8" x14ac:dyDescent="0.25">
      <c r="A37">
        <v>1764251538</v>
      </c>
      <c r="B37" s="1">
        <v>-164.95</v>
      </c>
      <c r="C37" s="1" t="s">
        <v>33</v>
      </c>
      <c r="D37" s="1">
        <v>580.67999999999995</v>
      </c>
      <c r="E37" s="1">
        <f>motor_data_no_load[[#This Row],[Time (s)]]-1764251518</f>
        <v>20</v>
      </c>
      <c r="H37">
        <f>motor_data_no_load[[#This Row],[RPM]]*(-1)</f>
        <v>-580.67999999999995</v>
      </c>
    </row>
    <row r="38" spans="1:8" x14ac:dyDescent="0.25">
      <c r="A38">
        <v>1764251538</v>
      </c>
      <c r="B38" s="1">
        <v>-162.44999999999999</v>
      </c>
      <c r="C38" s="1" t="s">
        <v>34</v>
      </c>
      <c r="D38" s="1">
        <v>578.41</v>
      </c>
      <c r="E38" s="1">
        <f>motor_data_no_load[[#This Row],[Time (s)]]-1764251518</f>
        <v>20</v>
      </c>
      <c r="H38">
        <f>motor_data_no_load[[#This Row],[RPM]]*(-1)</f>
        <v>-578.41</v>
      </c>
    </row>
    <row r="39" spans="1:8" x14ac:dyDescent="0.25">
      <c r="A39">
        <v>1764251539</v>
      </c>
      <c r="B39" s="1">
        <v>-159.94999999999999</v>
      </c>
      <c r="C39" s="1" t="s">
        <v>35</v>
      </c>
      <c r="D39" s="1">
        <v>575</v>
      </c>
      <c r="E39" s="1">
        <f>motor_data_no_load[[#This Row],[Time (s)]]-1764251518</f>
        <v>21</v>
      </c>
      <c r="H39">
        <f>motor_data_no_load[[#This Row],[RPM]]*(-1)</f>
        <v>-575</v>
      </c>
    </row>
    <row r="40" spans="1:8" x14ac:dyDescent="0.25">
      <c r="A40">
        <v>1764251539</v>
      </c>
      <c r="B40" s="1">
        <v>-157.44999999999999</v>
      </c>
      <c r="C40" s="1" t="s">
        <v>36</v>
      </c>
      <c r="D40" s="1">
        <v>569.32000000000005</v>
      </c>
      <c r="E40" s="1">
        <f>motor_data_no_load[[#This Row],[Time (s)]]-1764251518</f>
        <v>21</v>
      </c>
      <c r="H40">
        <f>motor_data_no_load[[#This Row],[RPM]]*(-1)</f>
        <v>-569.32000000000005</v>
      </c>
    </row>
    <row r="41" spans="1:8" x14ac:dyDescent="0.25">
      <c r="A41">
        <v>1764251540</v>
      </c>
      <c r="B41" s="1">
        <v>-154.94999999999999</v>
      </c>
      <c r="C41" s="1" t="s">
        <v>37</v>
      </c>
      <c r="D41" s="1">
        <v>563.64</v>
      </c>
      <c r="E41" s="1">
        <f>motor_data_no_load[[#This Row],[Time (s)]]-1764251518</f>
        <v>22</v>
      </c>
      <c r="H41">
        <f>motor_data_no_load[[#This Row],[RPM]]*(-1)</f>
        <v>-563.64</v>
      </c>
    </row>
    <row r="42" spans="1:8" x14ac:dyDescent="0.25">
      <c r="A42">
        <v>1764251541</v>
      </c>
      <c r="B42" s="1">
        <v>-152.44999999999999</v>
      </c>
      <c r="C42" s="1" t="s">
        <v>38</v>
      </c>
      <c r="D42" s="1">
        <v>562.5</v>
      </c>
      <c r="E42" s="1">
        <f>motor_data_no_load[[#This Row],[Time (s)]]-1764251518</f>
        <v>23</v>
      </c>
      <c r="H42">
        <f>motor_data_no_load[[#This Row],[RPM]]*(-1)</f>
        <v>-562.5</v>
      </c>
    </row>
    <row r="43" spans="1:8" x14ac:dyDescent="0.25">
      <c r="A43">
        <v>1764251541</v>
      </c>
      <c r="B43" s="1">
        <v>-149.94999999999999</v>
      </c>
      <c r="C43" s="1" t="s">
        <v>37</v>
      </c>
      <c r="D43" s="1">
        <v>563.64</v>
      </c>
      <c r="E43" s="1">
        <f>motor_data_no_load[[#This Row],[Time (s)]]-1764251518</f>
        <v>23</v>
      </c>
      <c r="H43">
        <f>motor_data_no_load[[#This Row],[RPM]]*(-1)</f>
        <v>-563.64</v>
      </c>
    </row>
    <row r="44" spans="1:8" x14ac:dyDescent="0.25">
      <c r="A44">
        <v>1764251542</v>
      </c>
      <c r="B44" s="1">
        <v>-147.44999999999999</v>
      </c>
      <c r="C44" s="1" t="s">
        <v>37</v>
      </c>
      <c r="D44" s="1">
        <v>563.64</v>
      </c>
      <c r="E44" s="1">
        <f>motor_data_no_load[[#This Row],[Time (s)]]-1764251518</f>
        <v>24</v>
      </c>
      <c r="H44">
        <f>motor_data_no_load[[#This Row],[RPM]]*(-1)</f>
        <v>-563.64</v>
      </c>
    </row>
    <row r="45" spans="1:8" x14ac:dyDescent="0.25">
      <c r="A45">
        <v>1764251542</v>
      </c>
      <c r="B45" s="1">
        <v>-144.94999999999999</v>
      </c>
      <c r="C45" s="1" t="s">
        <v>37</v>
      </c>
      <c r="D45" s="1">
        <v>563.64</v>
      </c>
      <c r="E45" s="1">
        <f>motor_data_no_load[[#This Row],[Time (s)]]-1764251518</f>
        <v>24</v>
      </c>
      <c r="H45">
        <f>motor_data_no_load[[#This Row],[RPM]]*(-1)</f>
        <v>-563.64</v>
      </c>
    </row>
    <row r="46" spans="1:8" x14ac:dyDescent="0.25">
      <c r="A46">
        <v>1764251543</v>
      </c>
      <c r="B46" s="1">
        <v>-142.44999999999999</v>
      </c>
      <c r="C46" s="1" t="s">
        <v>37</v>
      </c>
      <c r="D46" s="1">
        <v>563.64</v>
      </c>
      <c r="E46" s="1">
        <f>motor_data_no_load[[#This Row],[Time (s)]]-1764251518</f>
        <v>25</v>
      </c>
      <c r="H46">
        <f>motor_data_no_load[[#This Row],[RPM]]*(-1)</f>
        <v>-563.64</v>
      </c>
    </row>
    <row r="47" spans="1:8" x14ac:dyDescent="0.25">
      <c r="A47">
        <v>1764251543</v>
      </c>
      <c r="B47" s="1">
        <v>-139.94999999999999</v>
      </c>
      <c r="C47" s="1" t="s">
        <v>37</v>
      </c>
      <c r="D47" s="1">
        <v>563.64</v>
      </c>
      <c r="E47" s="1">
        <f>motor_data_no_load[[#This Row],[Time (s)]]-1764251518</f>
        <v>25</v>
      </c>
      <c r="H47">
        <f>motor_data_no_load[[#This Row],[RPM]]*(-1)</f>
        <v>-563.64</v>
      </c>
    </row>
    <row r="48" spans="1:8" x14ac:dyDescent="0.25">
      <c r="A48">
        <v>1764251544</v>
      </c>
      <c r="B48" s="1">
        <v>-137.44999999999999</v>
      </c>
      <c r="C48" s="1" t="s">
        <v>37</v>
      </c>
      <c r="D48" s="1">
        <v>563.64</v>
      </c>
      <c r="E48" s="1">
        <f>motor_data_no_load[[#This Row],[Time (s)]]-1764251518</f>
        <v>26</v>
      </c>
      <c r="H48">
        <f>motor_data_no_load[[#This Row],[RPM]]*(-1)</f>
        <v>-563.64</v>
      </c>
    </row>
    <row r="49" spans="1:8" x14ac:dyDescent="0.25">
      <c r="A49">
        <v>1764251544</v>
      </c>
      <c r="B49" s="1">
        <v>-134.94999999999999</v>
      </c>
      <c r="C49" s="1" t="s">
        <v>38</v>
      </c>
      <c r="D49" s="1">
        <v>562.5</v>
      </c>
      <c r="E49" s="1">
        <f>motor_data_no_load[[#This Row],[Time (s)]]-1764251518</f>
        <v>26</v>
      </c>
      <c r="H49">
        <f>motor_data_no_load[[#This Row],[RPM]]*(-1)</f>
        <v>-562.5</v>
      </c>
    </row>
    <row r="50" spans="1:8" x14ac:dyDescent="0.25">
      <c r="A50">
        <v>1764251545</v>
      </c>
      <c r="B50" s="1">
        <v>-132.44999999999999</v>
      </c>
      <c r="C50" s="1" t="s">
        <v>39</v>
      </c>
      <c r="D50" s="1">
        <v>544.32000000000005</v>
      </c>
      <c r="E50" s="1">
        <f>motor_data_no_load[[#This Row],[Time (s)]]-1764251518</f>
        <v>27</v>
      </c>
      <c r="H50">
        <f>motor_data_no_load[[#This Row],[RPM]]*(-1)</f>
        <v>-544.32000000000005</v>
      </c>
    </row>
    <row r="51" spans="1:8" x14ac:dyDescent="0.25">
      <c r="A51">
        <v>1764251546</v>
      </c>
      <c r="B51" s="1">
        <v>-129.94999999999999</v>
      </c>
      <c r="C51" s="1" t="s">
        <v>40</v>
      </c>
      <c r="D51" s="1">
        <v>529.54999999999995</v>
      </c>
      <c r="E51" s="1">
        <f>motor_data_no_load[[#This Row],[Time (s)]]-1764251518</f>
        <v>28</v>
      </c>
      <c r="H51">
        <f>motor_data_no_load[[#This Row],[RPM]]*(-1)</f>
        <v>-529.54999999999995</v>
      </c>
    </row>
    <row r="52" spans="1:8" x14ac:dyDescent="0.25">
      <c r="A52">
        <v>1764251546</v>
      </c>
      <c r="B52" s="1">
        <v>-127.45</v>
      </c>
      <c r="C52" s="1" t="s">
        <v>41</v>
      </c>
      <c r="D52" s="1">
        <v>522.73</v>
      </c>
      <c r="E52" s="1">
        <f>motor_data_no_load[[#This Row],[Time (s)]]-1764251518</f>
        <v>28</v>
      </c>
      <c r="H52">
        <f>motor_data_no_load[[#This Row],[RPM]]*(-1)</f>
        <v>-522.73</v>
      </c>
    </row>
    <row r="53" spans="1:8" x14ac:dyDescent="0.25">
      <c r="A53">
        <v>1764251547</v>
      </c>
      <c r="B53" s="1">
        <v>-124.95</v>
      </c>
      <c r="C53" s="1" t="s">
        <v>42</v>
      </c>
      <c r="D53" s="1">
        <v>519.32000000000005</v>
      </c>
      <c r="E53" s="1">
        <f>motor_data_no_load[[#This Row],[Time (s)]]-1764251518</f>
        <v>29</v>
      </c>
      <c r="H53">
        <f>motor_data_no_load[[#This Row],[RPM]]*(-1)</f>
        <v>-519.32000000000005</v>
      </c>
    </row>
    <row r="54" spans="1:8" x14ac:dyDescent="0.25">
      <c r="A54">
        <v>1764251547</v>
      </c>
      <c r="B54" s="1">
        <v>-122.45</v>
      </c>
      <c r="C54" s="1" t="s">
        <v>43</v>
      </c>
      <c r="D54" s="1">
        <v>512.5</v>
      </c>
      <c r="E54" s="1">
        <f>motor_data_no_load[[#This Row],[Time (s)]]-1764251518</f>
        <v>29</v>
      </c>
      <c r="H54">
        <f>motor_data_no_load[[#This Row],[RPM]]*(-1)</f>
        <v>-512.5</v>
      </c>
    </row>
    <row r="55" spans="1:8" x14ac:dyDescent="0.25">
      <c r="A55">
        <v>1764251548</v>
      </c>
      <c r="B55" s="1">
        <v>-119.95</v>
      </c>
      <c r="C55" s="1" t="s">
        <v>44</v>
      </c>
      <c r="D55" s="1">
        <v>507.95</v>
      </c>
      <c r="E55" s="1">
        <f>motor_data_no_load[[#This Row],[Time (s)]]-1764251518</f>
        <v>30</v>
      </c>
      <c r="H55">
        <f>motor_data_no_load[[#This Row],[RPM]]*(-1)</f>
        <v>-507.95</v>
      </c>
    </row>
    <row r="56" spans="1:8" x14ac:dyDescent="0.25">
      <c r="A56">
        <v>1764251548</v>
      </c>
      <c r="B56" s="1">
        <v>-117.45</v>
      </c>
      <c r="C56" s="1" t="s">
        <v>45</v>
      </c>
      <c r="D56" s="1">
        <v>501.14</v>
      </c>
      <c r="E56" s="1">
        <f>motor_data_no_load[[#This Row],[Time (s)]]-1764251518</f>
        <v>30</v>
      </c>
      <c r="H56">
        <f>motor_data_no_load[[#This Row],[RPM]]*(-1)</f>
        <v>-501.14</v>
      </c>
    </row>
    <row r="57" spans="1:8" x14ac:dyDescent="0.25">
      <c r="A57">
        <v>1764251549</v>
      </c>
      <c r="B57" s="1">
        <v>-114.95</v>
      </c>
      <c r="C57" s="1" t="s">
        <v>46</v>
      </c>
      <c r="D57" s="1">
        <v>495.45</v>
      </c>
      <c r="E57" s="1">
        <f>motor_data_no_load[[#This Row],[Time (s)]]-1764251518</f>
        <v>31</v>
      </c>
      <c r="H57">
        <f>motor_data_no_load[[#This Row],[RPM]]*(-1)</f>
        <v>-495.45</v>
      </c>
    </row>
    <row r="58" spans="1:8" x14ac:dyDescent="0.25">
      <c r="A58">
        <v>1764251549</v>
      </c>
      <c r="B58" s="1">
        <v>-112.45</v>
      </c>
      <c r="C58" s="1" t="s">
        <v>47</v>
      </c>
      <c r="D58" s="1">
        <v>487.5</v>
      </c>
      <c r="E58" s="1">
        <f>motor_data_no_load[[#This Row],[Time (s)]]-1764251518</f>
        <v>31</v>
      </c>
      <c r="H58">
        <f>motor_data_no_load[[#This Row],[RPM]]*(-1)</f>
        <v>-487.5</v>
      </c>
    </row>
    <row r="59" spans="1:8" x14ac:dyDescent="0.25">
      <c r="A59">
        <v>1764251550</v>
      </c>
      <c r="B59" s="1">
        <v>-109.95</v>
      </c>
      <c r="C59" s="1" t="s">
        <v>48</v>
      </c>
      <c r="D59" s="1">
        <v>480.68</v>
      </c>
      <c r="E59" s="1">
        <f>motor_data_no_load[[#This Row],[Time (s)]]-1764251518</f>
        <v>32</v>
      </c>
      <c r="H59">
        <f>motor_data_no_load[[#This Row],[RPM]]*(-1)</f>
        <v>-480.68</v>
      </c>
    </row>
    <row r="60" spans="1:8" x14ac:dyDescent="0.25">
      <c r="A60">
        <v>1764251551</v>
      </c>
      <c r="B60" s="1">
        <v>-107.45</v>
      </c>
      <c r="C60" s="1" t="s">
        <v>49</v>
      </c>
      <c r="D60" s="1">
        <v>475</v>
      </c>
      <c r="E60" s="1">
        <f>motor_data_no_load[[#This Row],[Time (s)]]-1764251518</f>
        <v>33</v>
      </c>
      <c r="H60">
        <f>motor_data_no_load[[#This Row],[RPM]]*(-1)</f>
        <v>-475</v>
      </c>
    </row>
    <row r="61" spans="1:8" x14ac:dyDescent="0.25">
      <c r="A61">
        <v>1764251551</v>
      </c>
      <c r="B61" s="1">
        <v>-104.95</v>
      </c>
      <c r="C61" s="1" t="s">
        <v>50</v>
      </c>
      <c r="D61" s="1">
        <v>467.05</v>
      </c>
      <c r="E61" s="1">
        <f>motor_data_no_load[[#This Row],[Time (s)]]-1764251518</f>
        <v>33</v>
      </c>
      <c r="H61">
        <f>motor_data_no_load[[#This Row],[RPM]]*(-1)</f>
        <v>-467.05</v>
      </c>
    </row>
    <row r="62" spans="1:8" x14ac:dyDescent="0.25">
      <c r="A62">
        <v>1764251552</v>
      </c>
      <c r="B62" s="1">
        <v>-102.45</v>
      </c>
      <c r="C62" s="1" t="s">
        <v>51</v>
      </c>
      <c r="D62" s="1">
        <v>460.23</v>
      </c>
      <c r="E62" s="1">
        <f>motor_data_no_load[[#This Row],[Time (s)]]-1764251518</f>
        <v>34</v>
      </c>
      <c r="H62">
        <f>motor_data_no_load[[#This Row],[RPM]]*(-1)</f>
        <v>-460.23</v>
      </c>
    </row>
    <row r="63" spans="1:8" x14ac:dyDescent="0.25">
      <c r="A63">
        <v>1764251552</v>
      </c>
      <c r="B63" s="1">
        <v>-99.95</v>
      </c>
      <c r="C63" s="1" t="s">
        <v>52</v>
      </c>
      <c r="D63" s="1">
        <v>452.27</v>
      </c>
      <c r="E63" s="1">
        <f>motor_data_no_load[[#This Row],[Time (s)]]-1764251518</f>
        <v>34</v>
      </c>
      <c r="H63">
        <f>motor_data_no_load[[#This Row],[RPM]]*(-1)</f>
        <v>-452.27</v>
      </c>
    </row>
    <row r="64" spans="1:8" x14ac:dyDescent="0.25">
      <c r="A64">
        <v>1764251553</v>
      </c>
      <c r="B64" s="1">
        <v>-97.45</v>
      </c>
      <c r="C64" s="1" t="s">
        <v>53</v>
      </c>
      <c r="D64" s="1">
        <v>443.18</v>
      </c>
      <c r="E64" s="1">
        <f>motor_data_no_load[[#This Row],[Time (s)]]-1764251518</f>
        <v>35</v>
      </c>
      <c r="H64">
        <f>motor_data_no_load[[#This Row],[RPM]]*(-1)</f>
        <v>-443.18</v>
      </c>
    </row>
    <row r="65" spans="1:8" x14ac:dyDescent="0.25">
      <c r="A65">
        <v>1764251553</v>
      </c>
      <c r="B65" s="1">
        <v>-94.95</v>
      </c>
      <c r="C65" s="1" t="s">
        <v>54</v>
      </c>
      <c r="D65" s="1">
        <v>435.23</v>
      </c>
      <c r="E65" s="1">
        <f>motor_data_no_load[[#This Row],[Time (s)]]-1764251518</f>
        <v>35</v>
      </c>
      <c r="H65">
        <f>motor_data_no_load[[#This Row],[RPM]]*(-1)</f>
        <v>-435.23</v>
      </c>
    </row>
    <row r="66" spans="1:8" x14ac:dyDescent="0.25">
      <c r="A66">
        <v>1764251554</v>
      </c>
      <c r="B66" s="1">
        <v>-92.45</v>
      </c>
      <c r="C66" s="1" t="s">
        <v>55</v>
      </c>
      <c r="D66" s="1">
        <v>426.14</v>
      </c>
      <c r="E66" s="1">
        <f>motor_data_no_load[[#This Row],[Time (s)]]-1764251518</f>
        <v>36</v>
      </c>
      <c r="H66">
        <f>motor_data_no_load[[#This Row],[RPM]]*(-1)</f>
        <v>-426.14</v>
      </c>
    </row>
    <row r="67" spans="1:8" x14ac:dyDescent="0.25">
      <c r="A67">
        <v>1764251554</v>
      </c>
      <c r="B67" s="1">
        <v>-89.95</v>
      </c>
      <c r="C67" s="1" t="s">
        <v>56</v>
      </c>
      <c r="D67" s="1">
        <v>417.05</v>
      </c>
      <c r="E67" s="1">
        <f>motor_data_no_load[[#This Row],[Time (s)]]-1764251518</f>
        <v>36</v>
      </c>
      <c r="H67">
        <f>motor_data_no_load[[#This Row],[RPM]]*(-1)</f>
        <v>-417.05</v>
      </c>
    </row>
    <row r="68" spans="1:8" x14ac:dyDescent="0.25">
      <c r="A68">
        <v>1764251555</v>
      </c>
      <c r="B68" s="1">
        <v>-87.45</v>
      </c>
      <c r="C68" s="1" t="s">
        <v>57</v>
      </c>
      <c r="D68" s="1">
        <v>407.95</v>
      </c>
      <c r="E68" s="1">
        <f>motor_data_no_load[[#This Row],[Time (s)]]-1764251518</f>
        <v>37</v>
      </c>
      <c r="H68">
        <f>motor_data_no_load[[#This Row],[RPM]]*(-1)</f>
        <v>-407.95</v>
      </c>
    </row>
    <row r="69" spans="1:8" x14ac:dyDescent="0.25">
      <c r="A69">
        <v>1764251555</v>
      </c>
      <c r="B69" s="1">
        <v>-84.95</v>
      </c>
      <c r="C69" s="1" t="s">
        <v>58</v>
      </c>
      <c r="D69" s="1">
        <v>396.59</v>
      </c>
      <c r="E69" s="1">
        <f>motor_data_no_load[[#This Row],[Time (s)]]-1764251518</f>
        <v>37</v>
      </c>
      <c r="H69">
        <f>motor_data_no_load[[#This Row],[RPM]]*(-1)</f>
        <v>-396.59</v>
      </c>
    </row>
    <row r="70" spans="1:8" x14ac:dyDescent="0.25">
      <c r="A70">
        <v>1764251556</v>
      </c>
      <c r="B70" s="1">
        <v>-82.45</v>
      </c>
      <c r="C70" s="1" t="s">
        <v>59</v>
      </c>
      <c r="D70" s="1">
        <v>386.36</v>
      </c>
      <c r="E70" s="1">
        <f>motor_data_no_load[[#This Row],[Time (s)]]-1764251518</f>
        <v>38</v>
      </c>
      <c r="H70">
        <f>motor_data_no_load[[#This Row],[RPM]]*(-1)</f>
        <v>-386.36</v>
      </c>
    </row>
    <row r="71" spans="1:8" x14ac:dyDescent="0.25">
      <c r="A71">
        <v>1764251557</v>
      </c>
      <c r="B71" s="1">
        <v>-79.95</v>
      </c>
      <c r="C71" s="1" t="s">
        <v>60</v>
      </c>
      <c r="D71" s="1">
        <v>373.86</v>
      </c>
      <c r="E71" s="1">
        <f>motor_data_no_load[[#This Row],[Time (s)]]-1764251518</f>
        <v>39</v>
      </c>
      <c r="H71">
        <f>motor_data_no_load[[#This Row],[RPM]]*(-1)</f>
        <v>-373.86</v>
      </c>
    </row>
    <row r="72" spans="1:8" x14ac:dyDescent="0.25">
      <c r="A72">
        <v>1764251557</v>
      </c>
      <c r="B72" s="1">
        <v>-77.45</v>
      </c>
      <c r="C72" s="1" t="s">
        <v>61</v>
      </c>
      <c r="D72" s="1">
        <v>364.77</v>
      </c>
      <c r="E72" s="1">
        <f>motor_data_no_load[[#This Row],[Time (s)]]-1764251518</f>
        <v>39</v>
      </c>
      <c r="H72">
        <f>motor_data_no_load[[#This Row],[RPM]]*(-1)</f>
        <v>-364.77</v>
      </c>
    </row>
    <row r="73" spans="1:8" x14ac:dyDescent="0.25">
      <c r="A73">
        <v>1764251558</v>
      </c>
      <c r="B73" s="1">
        <v>-74.95</v>
      </c>
      <c r="C73" s="1" t="s">
        <v>62</v>
      </c>
      <c r="D73" s="1">
        <v>351.14</v>
      </c>
      <c r="E73" s="1">
        <f>motor_data_no_load[[#This Row],[Time (s)]]-1764251518</f>
        <v>40</v>
      </c>
      <c r="H73">
        <f>motor_data_no_load[[#This Row],[RPM]]*(-1)</f>
        <v>-351.14</v>
      </c>
    </row>
    <row r="74" spans="1:8" x14ac:dyDescent="0.25">
      <c r="A74">
        <v>1764251558</v>
      </c>
      <c r="B74" s="1">
        <v>-72.45</v>
      </c>
      <c r="C74" s="1" t="s">
        <v>63</v>
      </c>
      <c r="D74" s="1">
        <v>339.77</v>
      </c>
      <c r="E74" s="1">
        <f>motor_data_no_load[[#This Row],[Time (s)]]-1764251518</f>
        <v>40</v>
      </c>
      <c r="H74">
        <f>motor_data_no_load[[#This Row],[RPM]]*(-1)</f>
        <v>-339.77</v>
      </c>
    </row>
    <row r="75" spans="1:8" x14ac:dyDescent="0.25">
      <c r="A75">
        <v>1764251559</v>
      </c>
      <c r="B75" s="1">
        <v>-69.95</v>
      </c>
      <c r="C75" s="1" t="s">
        <v>64</v>
      </c>
      <c r="D75" s="1">
        <v>327.27</v>
      </c>
      <c r="E75" s="1">
        <f>motor_data_no_load[[#This Row],[Time (s)]]-1764251518</f>
        <v>41</v>
      </c>
      <c r="H75">
        <f>motor_data_no_load[[#This Row],[RPM]]*(-1)</f>
        <v>-327.27</v>
      </c>
    </row>
    <row r="76" spans="1:8" x14ac:dyDescent="0.25">
      <c r="A76">
        <v>1764251559</v>
      </c>
      <c r="B76" s="1">
        <v>-67.45</v>
      </c>
      <c r="C76" s="1" t="s">
        <v>65</v>
      </c>
      <c r="D76" s="1">
        <v>312.5</v>
      </c>
      <c r="E76" s="1">
        <f>motor_data_no_load[[#This Row],[Time (s)]]-1764251518</f>
        <v>41</v>
      </c>
      <c r="H76">
        <f>motor_data_no_load[[#This Row],[RPM]]*(-1)</f>
        <v>-312.5</v>
      </c>
    </row>
    <row r="77" spans="1:8" x14ac:dyDescent="0.25">
      <c r="A77">
        <v>1764251560</v>
      </c>
      <c r="B77" s="1">
        <v>-64.95</v>
      </c>
      <c r="C77" s="1" t="s">
        <v>66</v>
      </c>
      <c r="D77" s="1">
        <v>298.86</v>
      </c>
      <c r="E77" s="1">
        <f>motor_data_no_load[[#This Row],[Time (s)]]-1764251518</f>
        <v>42</v>
      </c>
      <c r="H77">
        <f>motor_data_no_load[[#This Row],[RPM]]*(-1)</f>
        <v>-298.86</v>
      </c>
    </row>
    <row r="78" spans="1:8" x14ac:dyDescent="0.25">
      <c r="A78">
        <v>1764251560</v>
      </c>
      <c r="B78" s="1">
        <v>-62.45</v>
      </c>
      <c r="C78" s="1" t="s">
        <v>67</v>
      </c>
      <c r="D78" s="1">
        <v>282.95</v>
      </c>
      <c r="E78" s="1">
        <f>motor_data_no_load[[#This Row],[Time (s)]]-1764251518</f>
        <v>42</v>
      </c>
      <c r="H78">
        <f>motor_data_no_load[[#This Row],[RPM]]*(-1)</f>
        <v>-282.95</v>
      </c>
    </row>
    <row r="79" spans="1:8" x14ac:dyDescent="0.25">
      <c r="A79">
        <v>1764251561</v>
      </c>
      <c r="B79" s="1">
        <v>-59.95</v>
      </c>
      <c r="C79" s="1" t="s">
        <v>68</v>
      </c>
      <c r="D79" s="1">
        <v>268.18</v>
      </c>
      <c r="E79" s="1">
        <f>motor_data_no_load[[#This Row],[Time (s)]]-1764251518</f>
        <v>43</v>
      </c>
      <c r="H79">
        <f>motor_data_no_load[[#This Row],[RPM]]*(-1)</f>
        <v>-268.18</v>
      </c>
    </row>
    <row r="80" spans="1:8" x14ac:dyDescent="0.25">
      <c r="A80">
        <v>1764251562</v>
      </c>
      <c r="B80" s="1">
        <v>-57.45</v>
      </c>
      <c r="C80" s="1" t="s">
        <v>69</v>
      </c>
      <c r="D80" s="1">
        <v>251.14</v>
      </c>
      <c r="E80" s="1">
        <f>motor_data_no_load[[#This Row],[Time (s)]]-1764251518</f>
        <v>44</v>
      </c>
      <c r="H80">
        <f>motor_data_no_load[[#This Row],[RPM]]*(-1)</f>
        <v>-251.14</v>
      </c>
    </row>
    <row r="81" spans="1:8" x14ac:dyDescent="0.25">
      <c r="A81">
        <v>1764251562</v>
      </c>
      <c r="B81" s="1">
        <v>-54.95</v>
      </c>
      <c r="C81" s="1" t="s">
        <v>70</v>
      </c>
      <c r="D81" s="1">
        <v>235.23</v>
      </c>
      <c r="E81" s="1">
        <f>motor_data_no_load[[#This Row],[Time (s)]]-1764251518</f>
        <v>44</v>
      </c>
      <c r="H81">
        <f>motor_data_no_load[[#This Row],[RPM]]*(-1)</f>
        <v>-235.23</v>
      </c>
    </row>
    <row r="82" spans="1:8" x14ac:dyDescent="0.25">
      <c r="A82">
        <v>1764251563</v>
      </c>
      <c r="B82" s="1">
        <v>-52.45</v>
      </c>
      <c r="C82" s="1" t="s">
        <v>71</v>
      </c>
      <c r="D82" s="1">
        <v>217.05</v>
      </c>
      <c r="E82" s="1">
        <f>motor_data_no_load[[#This Row],[Time (s)]]-1764251518</f>
        <v>45</v>
      </c>
      <c r="H82">
        <f>motor_data_no_load[[#This Row],[RPM]]*(-1)</f>
        <v>-217.05</v>
      </c>
    </row>
    <row r="83" spans="1:8" x14ac:dyDescent="0.25">
      <c r="A83">
        <v>1764251563</v>
      </c>
      <c r="B83" s="1">
        <v>-49.95</v>
      </c>
      <c r="C83" s="1" t="s">
        <v>72</v>
      </c>
      <c r="D83" s="1">
        <v>200</v>
      </c>
      <c r="E83" s="1">
        <f>motor_data_no_load[[#This Row],[Time (s)]]-1764251518</f>
        <v>45</v>
      </c>
      <c r="H83">
        <f>motor_data_no_load[[#This Row],[RPM]]*(-1)</f>
        <v>-200</v>
      </c>
    </row>
    <row r="84" spans="1:8" x14ac:dyDescent="0.25">
      <c r="A84">
        <v>1764251564</v>
      </c>
      <c r="B84" s="1">
        <v>-47.45</v>
      </c>
      <c r="C84" s="1" t="s">
        <v>73</v>
      </c>
      <c r="D84" s="1">
        <v>181.82</v>
      </c>
      <c r="E84" s="1">
        <f>motor_data_no_load[[#This Row],[Time (s)]]-1764251518</f>
        <v>46</v>
      </c>
      <c r="H84">
        <f>motor_data_no_load[[#This Row],[RPM]]*(-1)</f>
        <v>-181.82</v>
      </c>
    </row>
    <row r="85" spans="1:8" x14ac:dyDescent="0.25">
      <c r="A85">
        <v>1764251564</v>
      </c>
      <c r="B85" s="1">
        <v>-44.95</v>
      </c>
      <c r="C85" s="1" t="s">
        <v>74</v>
      </c>
      <c r="D85" s="1">
        <v>164.77</v>
      </c>
      <c r="E85" s="1">
        <f>motor_data_no_load[[#This Row],[Time (s)]]-1764251518</f>
        <v>46</v>
      </c>
      <c r="H85">
        <f>motor_data_no_load[[#This Row],[RPM]]*(-1)</f>
        <v>-164.77</v>
      </c>
    </row>
    <row r="86" spans="1:8" x14ac:dyDescent="0.25">
      <c r="A86">
        <v>1764251565</v>
      </c>
      <c r="B86" s="1">
        <v>-42.45</v>
      </c>
      <c r="C86" s="1" t="s">
        <v>75</v>
      </c>
      <c r="D86" s="1">
        <v>144.32</v>
      </c>
      <c r="E86" s="1">
        <f>motor_data_no_load[[#This Row],[Time (s)]]-1764251518</f>
        <v>47</v>
      </c>
      <c r="H86">
        <f>motor_data_no_load[[#This Row],[RPM]]*(-1)</f>
        <v>-144.32</v>
      </c>
    </row>
    <row r="87" spans="1:8" x14ac:dyDescent="0.25">
      <c r="A87">
        <v>1764251565</v>
      </c>
      <c r="B87" s="1">
        <v>-39.950000000000003</v>
      </c>
      <c r="C87" s="1" t="s">
        <v>76</v>
      </c>
      <c r="D87" s="1">
        <v>127.27</v>
      </c>
      <c r="E87" s="1">
        <f>motor_data_no_load[[#This Row],[Time (s)]]-1764251518</f>
        <v>47</v>
      </c>
      <c r="H87">
        <f>motor_data_no_load[[#This Row],[RPM]]*(-1)</f>
        <v>-127.27</v>
      </c>
    </row>
    <row r="88" spans="1:8" x14ac:dyDescent="0.25">
      <c r="A88">
        <v>1764251566</v>
      </c>
      <c r="B88" s="1">
        <v>-37.450000000000003</v>
      </c>
      <c r="C88" s="1" t="s">
        <v>77</v>
      </c>
      <c r="D88" s="1">
        <v>107.95</v>
      </c>
      <c r="E88" s="1">
        <f>motor_data_no_load[[#This Row],[Time (s)]]-1764251518</f>
        <v>48</v>
      </c>
      <c r="H88">
        <f>motor_data_no_load[[#This Row],[RPM]]*(-1)</f>
        <v>-107.95</v>
      </c>
    </row>
    <row r="89" spans="1:8" x14ac:dyDescent="0.25">
      <c r="A89">
        <v>1764251567</v>
      </c>
      <c r="B89" s="1">
        <v>-34.950000000000003</v>
      </c>
      <c r="C89" s="1" t="s">
        <v>78</v>
      </c>
      <c r="D89" s="1">
        <v>89.77</v>
      </c>
      <c r="E89" s="1">
        <f>motor_data_no_load[[#This Row],[Time (s)]]-1764251518</f>
        <v>49</v>
      </c>
      <c r="H89">
        <f>motor_data_no_load[[#This Row],[RPM]]*(-1)</f>
        <v>-89.77</v>
      </c>
    </row>
    <row r="90" spans="1:8" x14ac:dyDescent="0.25">
      <c r="A90">
        <v>1764251567</v>
      </c>
      <c r="B90" s="1">
        <v>-32.450000000000003</v>
      </c>
      <c r="C90" s="1" t="s">
        <v>79</v>
      </c>
      <c r="D90" s="1">
        <v>71.59</v>
      </c>
      <c r="E90" s="1">
        <f>motor_data_no_load[[#This Row],[Time (s)]]-1764251518</f>
        <v>49</v>
      </c>
      <c r="H90">
        <f>motor_data_no_load[[#This Row],[RPM]]*(-1)</f>
        <v>-71.59</v>
      </c>
    </row>
    <row r="91" spans="1:8" x14ac:dyDescent="0.25">
      <c r="A91">
        <v>1764251568</v>
      </c>
      <c r="B91" s="1">
        <v>-29.95</v>
      </c>
      <c r="C91" s="1" t="s">
        <v>80</v>
      </c>
      <c r="D91" s="1">
        <v>52.27</v>
      </c>
      <c r="E91" s="1">
        <f>motor_data_no_load[[#This Row],[Time (s)]]-1764251518</f>
        <v>50</v>
      </c>
      <c r="H91">
        <f>motor_data_no_load[[#This Row],[RPM]]*(-1)</f>
        <v>-52.27</v>
      </c>
    </row>
    <row r="92" spans="1:8" x14ac:dyDescent="0.25">
      <c r="A92">
        <v>1764251568</v>
      </c>
      <c r="B92" s="1">
        <v>-27.45</v>
      </c>
      <c r="C92" s="1" t="s">
        <v>81</v>
      </c>
      <c r="D92" s="1">
        <v>36.36</v>
      </c>
      <c r="E92" s="1">
        <f>motor_data_no_load[[#This Row],[Time (s)]]-1764251518</f>
        <v>50</v>
      </c>
      <c r="H92">
        <f>motor_data_no_load[[#This Row],[RPM]]*(-1)</f>
        <v>-36.36</v>
      </c>
    </row>
    <row r="93" spans="1:8" x14ac:dyDescent="0.25">
      <c r="A93">
        <v>1764251569</v>
      </c>
      <c r="B93" s="1">
        <v>-24.95</v>
      </c>
      <c r="C93" s="1" t="s">
        <v>82</v>
      </c>
      <c r="D93" s="1">
        <v>20.45</v>
      </c>
      <c r="E93" s="1">
        <f>motor_data_no_load[[#This Row],[Time (s)]]-1764251518</f>
        <v>51</v>
      </c>
      <c r="H93">
        <f>motor_data_no_load[[#This Row],[RPM]]*(-1)</f>
        <v>-20.45</v>
      </c>
    </row>
    <row r="94" spans="1:8" x14ac:dyDescent="0.25">
      <c r="A94">
        <v>1764251569</v>
      </c>
      <c r="B94" s="1">
        <v>-22.45</v>
      </c>
      <c r="C94" s="1" t="s">
        <v>83</v>
      </c>
      <c r="D94" s="1">
        <v>0</v>
      </c>
      <c r="E94" s="1">
        <f>motor_data_no_load[[#This Row],[Time (s)]]-1764251518</f>
        <v>51</v>
      </c>
      <c r="H94">
        <f>motor_data_no_load[[#This Row],[RPM]]</f>
        <v>0</v>
      </c>
    </row>
    <row r="95" spans="1:8" x14ac:dyDescent="0.25">
      <c r="A95">
        <v>1764251570</v>
      </c>
      <c r="B95" s="1">
        <v>-19.95</v>
      </c>
      <c r="C95" s="1" t="s">
        <v>83</v>
      </c>
      <c r="D95" s="1">
        <v>0</v>
      </c>
      <c r="E95" s="1">
        <f>motor_data_no_load[[#This Row],[Time (s)]]-1764251518</f>
        <v>52</v>
      </c>
      <c r="H95">
        <f>motor_data_no_load[[#This Row],[RPM]]</f>
        <v>0</v>
      </c>
    </row>
    <row r="96" spans="1:8" x14ac:dyDescent="0.25">
      <c r="A96">
        <v>1764251570</v>
      </c>
      <c r="B96" s="1">
        <v>-17.45</v>
      </c>
      <c r="C96" s="1" t="s">
        <v>83</v>
      </c>
      <c r="D96" s="1">
        <v>0</v>
      </c>
      <c r="E96" s="1">
        <f>motor_data_no_load[[#This Row],[Time (s)]]-1764251518</f>
        <v>52</v>
      </c>
      <c r="H96">
        <f>motor_data_no_load[[#This Row],[RPM]]</f>
        <v>0</v>
      </c>
    </row>
    <row r="97" spans="1:8" x14ac:dyDescent="0.25">
      <c r="A97">
        <v>1764251571</v>
      </c>
      <c r="B97" s="1">
        <v>-14.95</v>
      </c>
      <c r="C97" s="1" t="s">
        <v>83</v>
      </c>
      <c r="D97" s="1">
        <v>0</v>
      </c>
      <c r="E97" s="1">
        <f>motor_data_no_load[[#This Row],[Time (s)]]-1764251518</f>
        <v>53</v>
      </c>
      <c r="H97">
        <f>motor_data_no_load[[#This Row],[RPM]]</f>
        <v>0</v>
      </c>
    </row>
    <row r="98" spans="1:8" x14ac:dyDescent="0.25">
      <c r="A98">
        <v>1764251571</v>
      </c>
      <c r="B98" s="1">
        <v>-12.45</v>
      </c>
      <c r="C98" s="1" t="s">
        <v>83</v>
      </c>
      <c r="D98" s="1">
        <v>0</v>
      </c>
      <c r="E98" s="1">
        <f>motor_data_no_load[[#This Row],[Time (s)]]-1764251518</f>
        <v>53</v>
      </c>
      <c r="H98">
        <f>motor_data_no_load[[#This Row],[RPM]]</f>
        <v>0</v>
      </c>
    </row>
    <row r="99" spans="1:8" x14ac:dyDescent="0.25">
      <c r="A99">
        <v>1764251572</v>
      </c>
      <c r="B99" s="1">
        <v>-9.9499999999999993</v>
      </c>
      <c r="C99" s="1" t="s">
        <v>83</v>
      </c>
      <c r="D99" s="1">
        <v>0</v>
      </c>
      <c r="E99" s="1">
        <f>motor_data_no_load[[#This Row],[Time (s)]]-1764251518</f>
        <v>54</v>
      </c>
      <c r="H99">
        <f>motor_data_no_load[[#This Row],[RPM]]</f>
        <v>0</v>
      </c>
    </row>
    <row r="100" spans="1:8" x14ac:dyDescent="0.25">
      <c r="A100">
        <v>1764251573</v>
      </c>
      <c r="B100" s="1">
        <v>-7.45</v>
      </c>
      <c r="C100" s="1" t="s">
        <v>83</v>
      </c>
      <c r="D100" s="1">
        <v>0</v>
      </c>
      <c r="E100" s="1">
        <f>motor_data_no_load[[#This Row],[Time (s)]]-1764251518</f>
        <v>55</v>
      </c>
      <c r="H100">
        <f>motor_data_no_load[[#This Row],[RPM]]</f>
        <v>0</v>
      </c>
    </row>
    <row r="101" spans="1:8" x14ac:dyDescent="0.25">
      <c r="A101">
        <v>1764251573</v>
      </c>
      <c r="B101" s="1">
        <v>-4.95</v>
      </c>
      <c r="C101" s="1" t="s">
        <v>83</v>
      </c>
      <c r="D101" s="1">
        <v>0</v>
      </c>
      <c r="E101" s="1">
        <f>motor_data_no_load[[#This Row],[Time (s)]]-1764251518</f>
        <v>55</v>
      </c>
      <c r="H101">
        <f>motor_data_no_load[[#This Row],[RPM]]</f>
        <v>0</v>
      </c>
    </row>
    <row r="102" spans="1:8" x14ac:dyDescent="0.25">
      <c r="A102">
        <v>1764251574</v>
      </c>
      <c r="B102" s="1">
        <v>-2.4500000000000002</v>
      </c>
      <c r="C102" s="1" t="s">
        <v>83</v>
      </c>
      <c r="D102" s="1">
        <v>0</v>
      </c>
      <c r="E102" s="1">
        <f>motor_data_no_load[[#This Row],[Time (s)]]-1764251518</f>
        <v>56</v>
      </c>
      <c r="H102">
        <f>motor_data_no_load[[#This Row],[RPM]]</f>
        <v>0</v>
      </c>
    </row>
    <row r="103" spans="1:8" x14ac:dyDescent="0.25">
      <c r="A103">
        <v>1764251574</v>
      </c>
      <c r="B103" s="1">
        <v>0.05</v>
      </c>
      <c r="C103" s="1" t="s">
        <v>83</v>
      </c>
      <c r="D103" s="1">
        <v>0</v>
      </c>
      <c r="E103" s="1">
        <f>motor_data_no_load[[#This Row],[Time (s)]]-1764251518</f>
        <v>56</v>
      </c>
      <c r="H103">
        <f>motor_data_no_load[[#This Row],[RPM]]</f>
        <v>0</v>
      </c>
    </row>
    <row r="104" spans="1:8" x14ac:dyDescent="0.25">
      <c r="A104">
        <v>1764251575</v>
      </c>
      <c r="B104" s="1">
        <v>2.5499999999999998</v>
      </c>
      <c r="C104" s="1" t="s">
        <v>83</v>
      </c>
      <c r="D104" s="1">
        <v>0</v>
      </c>
      <c r="E104" s="1">
        <f>motor_data_no_load[[#This Row],[Time (s)]]-1764251518</f>
        <v>57</v>
      </c>
      <c r="H104">
        <f>motor_data_no_load[[#This Row],[RPM]]</f>
        <v>0</v>
      </c>
    </row>
    <row r="105" spans="1:8" x14ac:dyDescent="0.25">
      <c r="A105">
        <v>1764251575</v>
      </c>
      <c r="B105" s="1">
        <v>5.05</v>
      </c>
      <c r="C105" s="1" t="s">
        <v>83</v>
      </c>
      <c r="D105" s="1">
        <v>0</v>
      </c>
      <c r="E105" s="1">
        <f>motor_data_no_load[[#This Row],[Time (s)]]-1764251518</f>
        <v>57</v>
      </c>
      <c r="H105">
        <f>motor_data_no_load[[#This Row],[RPM]]</f>
        <v>0</v>
      </c>
    </row>
    <row r="106" spans="1:8" x14ac:dyDescent="0.25">
      <c r="A106">
        <v>1764251576</v>
      </c>
      <c r="B106" s="1">
        <v>7.55</v>
      </c>
      <c r="C106" s="1" t="s">
        <v>83</v>
      </c>
      <c r="D106" s="1">
        <v>0</v>
      </c>
      <c r="E106" s="1">
        <f>motor_data_no_load[[#This Row],[Time (s)]]-1764251518</f>
        <v>58</v>
      </c>
      <c r="H106">
        <f>motor_data_no_load[[#This Row],[RPM]]</f>
        <v>0</v>
      </c>
    </row>
    <row r="107" spans="1:8" x14ac:dyDescent="0.25">
      <c r="A107">
        <v>1764251576</v>
      </c>
      <c r="B107" s="1">
        <v>10.050000000000001</v>
      </c>
      <c r="C107" s="1" t="s">
        <v>83</v>
      </c>
      <c r="D107" s="1">
        <v>0</v>
      </c>
      <c r="E107" s="1">
        <f>motor_data_no_load[[#This Row],[Time (s)]]-1764251518</f>
        <v>58</v>
      </c>
      <c r="H107">
        <f>motor_data_no_load[[#This Row],[RPM]]</f>
        <v>0</v>
      </c>
    </row>
    <row r="108" spans="1:8" x14ac:dyDescent="0.25">
      <c r="A108">
        <v>1764251577</v>
      </c>
      <c r="B108" s="1">
        <v>12.55</v>
      </c>
      <c r="C108" s="1" t="s">
        <v>83</v>
      </c>
      <c r="D108" s="1">
        <v>0</v>
      </c>
      <c r="E108" s="1">
        <f>motor_data_no_load[[#This Row],[Time (s)]]-1764251518</f>
        <v>59</v>
      </c>
      <c r="H108">
        <f>motor_data_no_load[[#This Row],[RPM]]</f>
        <v>0</v>
      </c>
    </row>
    <row r="109" spans="1:8" x14ac:dyDescent="0.25">
      <c r="A109">
        <v>1764251577</v>
      </c>
      <c r="B109" s="1">
        <v>15.05</v>
      </c>
      <c r="C109" s="1" t="s">
        <v>83</v>
      </c>
      <c r="D109" s="1">
        <v>0</v>
      </c>
      <c r="E109" s="1">
        <f>motor_data_no_load[[#This Row],[Time (s)]]-1764251518</f>
        <v>59</v>
      </c>
      <c r="H109">
        <f>motor_data_no_load[[#This Row],[RPM]]</f>
        <v>0</v>
      </c>
    </row>
    <row r="110" spans="1:8" x14ac:dyDescent="0.25">
      <c r="A110">
        <v>1764251578</v>
      </c>
      <c r="B110" s="1">
        <v>17.55</v>
      </c>
      <c r="C110" s="1" t="s">
        <v>84</v>
      </c>
      <c r="D110" s="1">
        <v>2.27</v>
      </c>
      <c r="E110" s="1">
        <f>motor_data_no_load[[#This Row],[Time (s)]]-1764251518</f>
        <v>60</v>
      </c>
      <c r="H110">
        <f>motor_data_no_load[[#This Row],[RPM]]</f>
        <v>2.27</v>
      </c>
    </row>
    <row r="111" spans="1:8" x14ac:dyDescent="0.25">
      <c r="A111">
        <v>1764251579</v>
      </c>
      <c r="B111" s="1">
        <v>20.05</v>
      </c>
      <c r="C111" s="1" t="s">
        <v>83</v>
      </c>
      <c r="D111" s="1">
        <v>0</v>
      </c>
      <c r="E111" s="1">
        <f>motor_data_no_load[[#This Row],[Time (s)]]-1764251518</f>
        <v>61</v>
      </c>
      <c r="H111">
        <f>motor_data_no_load[[#This Row],[RPM]]</f>
        <v>0</v>
      </c>
    </row>
    <row r="112" spans="1:8" x14ac:dyDescent="0.25">
      <c r="A112">
        <v>1764251579</v>
      </c>
      <c r="B112" s="1">
        <v>22.55</v>
      </c>
      <c r="C112" s="1" t="s">
        <v>83</v>
      </c>
      <c r="D112" s="1">
        <v>0</v>
      </c>
      <c r="E112" s="1">
        <f>motor_data_no_load[[#This Row],[Time (s)]]-1764251518</f>
        <v>61</v>
      </c>
      <c r="H112">
        <f>motor_data_no_load[[#This Row],[RPM]]</f>
        <v>0</v>
      </c>
    </row>
    <row r="113" spans="1:8" x14ac:dyDescent="0.25">
      <c r="A113">
        <v>1764251580</v>
      </c>
      <c r="B113" s="1">
        <v>25.05</v>
      </c>
      <c r="C113" s="1" t="s">
        <v>83</v>
      </c>
      <c r="D113" s="1">
        <v>0</v>
      </c>
      <c r="E113" s="1">
        <f>motor_data_no_load[[#This Row],[Time (s)]]-1764251518</f>
        <v>62</v>
      </c>
      <c r="H113">
        <f>motor_data_no_load[[#This Row],[RPM]]</f>
        <v>0</v>
      </c>
    </row>
    <row r="114" spans="1:8" x14ac:dyDescent="0.25">
      <c r="A114">
        <v>1764251580</v>
      </c>
      <c r="B114" s="1">
        <v>27.55</v>
      </c>
      <c r="C114" s="1" t="s">
        <v>83</v>
      </c>
      <c r="D114" s="1">
        <v>0</v>
      </c>
      <c r="E114" s="1">
        <f>motor_data_no_load[[#This Row],[Time (s)]]-1764251518</f>
        <v>62</v>
      </c>
      <c r="H114">
        <f>motor_data_no_load[[#This Row],[RPM]]</f>
        <v>0</v>
      </c>
    </row>
    <row r="115" spans="1:8" x14ac:dyDescent="0.25">
      <c r="A115">
        <v>1764251581</v>
      </c>
      <c r="B115" s="1">
        <v>30.05</v>
      </c>
      <c r="C115" s="1" t="s">
        <v>83</v>
      </c>
      <c r="D115" s="1">
        <v>0</v>
      </c>
      <c r="E115" s="1">
        <f>motor_data_no_load[[#This Row],[Time (s)]]-1764251518</f>
        <v>63</v>
      </c>
      <c r="H115">
        <f>motor_data_no_load[[#This Row],[RPM]]</f>
        <v>0</v>
      </c>
    </row>
    <row r="116" spans="1:8" x14ac:dyDescent="0.25">
      <c r="A116">
        <v>1764251581</v>
      </c>
      <c r="B116" s="1">
        <v>32.549999999999997</v>
      </c>
      <c r="C116" s="1" t="s">
        <v>83</v>
      </c>
      <c r="D116" s="1">
        <v>0</v>
      </c>
      <c r="E116" s="1">
        <f>motor_data_no_load[[#This Row],[Time (s)]]-1764251518</f>
        <v>63</v>
      </c>
      <c r="H116">
        <f>motor_data_no_load[[#This Row],[RPM]]</f>
        <v>0</v>
      </c>
    </row>
    <row r="117" spans="1:8" x14ac:dyDescent="0.25">
      <c r="A117">
        <v>1764251582</v>
      </c>
      <c r="B117" s="1">
        <v>35.049999999999997</v>
      </c>
      <c r="C117" s="1" t="s">
        <v>85</v>
      </c>
      <c r="D117" s="1">
        <v>1.1399999999999999</v>
      </c>
      <c r="E117" s="1">
        <f>motor_data_no_load[[#This Row],[Time (s)]]-1764251518</f>
        <v>64</v>
      </c>
      <c r="H117">
        <f>motor_data_no_load[[#This Row],[RPM]]</f>
        <v>1.1399999999999999</v>
      </c>
    </row>
    <row r="118" spans="1:8" x14ac:dyDescent="0.25">
      <c r="A118">
        <v>1764251582</v>
      </c>
      <c r="B118" s="1">
        <v>37.549999999999997</v>
      </c>
      <c r="C118" s="1" t="s">
        <v>85</v>
      </c>
      <c r="D118" s="1">
        <v>1.1399999999999999</v>
      </c>
      <c r="E118" s="1">
        <f>motor_data_no_load[[#This Row],[Time (s)]]-1764251518</f>
        <v>64</v>
      </c>
      <c r="H118">
        <f>motor_data_no_load[[#This Row],[RPM]]</f>
        <v>1.1399999999999999</v>
      </c>
    </row>
    <row r="119" spans="1:8" x14ac:dyDescent="0.25">
      <c r="A119">
        <v>1764251583</v>
      </c>
      <c r="B119" s="1">
        <v>40.049999999999997</v>
      </c>
      <c r="C119" s="1" t="s">
        <v>86</v>
      </c>
      <c r="D119" s="1">
        <v>69.319999999999993</v>
      </c>
      <c r="E119" s="1">
        <f>motor_data_no_load[[#This Row],[Time (s)]]-1764251518</f>
        <v>65</v>
      </c>
      <c r="H119">
        <f>motor_data_no_load[[#This Row],[RPM]]</f>
        <v>69.319999999999993</v>
      </c>
    </row>
    <row r="120" spans="1:8" x14ac:dyDescent="0.25">
      <c r="A120">
        <v>1764251583</v>
      </c>
      <c r="B120" s="1">
        <v>42.55</v>
      </c>
      <c r="C120" s="1" t="s">
        <v>87</v>
      </c>
      <c r="D120" s="1">
        <v>101.14</v>
      </c>
      <c r="E120" s="1">
        <f>motor_data_no_load[[#This Row],[Time (s)]]-1764251518</f>
        <v>65</v>
      </c>
      <c r="H120">
        <f>motor_data_no_load[[#This Row],[RPM]]</f>
        <v>101.14</v>
      </c>
    </row>
    <row r="121" spans="1:8" x14ac:dyDescent="0.25">
      <c r="A121">
        <v>1764251584</v>
      </c>
      <c r="B121" s="1">
        <v>45.05</v>
      </c>
      <c r="C121" s="1" t="s">
        <v>88</v>
      </c>
      <c r="D121" s="1">
        <v>122.73</v>
      </c>
      <c r="E121" s="1">
        <f>motor_data_no_load[[#This Row],[Time (s)]]-1764251518</f>
        <v>66</v>
      </c>
      <c r="H121">
        <f>motor_data_no_load[[#This Row],[RPM]]</f>
        <v>122.73</v>
      </c>
    </row>
    <row r="122" spans="1:8" x14ac:dyDescent="0.25">
      <c r="A122">
        <v>1764251585</v>
      </c>
      <c r="B122" s="1">
        <v>47.55</v>
      </c>
      <c r="C122" s="1" t="s">
        <v>89</v>
      </c>
      <c r="D122" s="1">
        <v>140.91</v>
      </c>
      <c r="E122" s="1">
        <f>motor_data_no_load[[#This Row],[Time (s)]]-1764251518</f>
        <v>67</v>
      </c>
      <c r="H122">
        <f>motor_data_no_load[[#This Row],[RPM]]</f>
        <v>140.91</v>
      </c>
    </row>
    <row r="123" spans="1:8" x14ac:dyDescent="0.25">
      <c r="A123">
        <v>1764251585</v>
      </c>
      <c r="B123" s="1">
        <v>50.05</v>
      </c>
      <c r="C123" s="1" t="s">
        <v>90</v>
      </c>
      <c r="D123" s="1">
        <v>159.09</v>
      </c>
      <c r="E123" s="1">
        <f>motor_data_no_load[[#This Row],[Time (s)]]-1764251518</f>
        <v>67</v>
      </c>
      <c r="H123">
        <f>motor_data_no_load[[#This Row],[RPM]]</f>
        <v>159.09</v>
      </c>
    </row>
    <row r="124" spans="1:8" x14ac:dyDescent="0.25">
      <c r="A124">
        <v>1764251586</v>
      </c>
      <c r="B124" s="1">
        <v>52.55</v>
      </c>
      <c r="C124" s="1" t="s">
        <v>91</v>
      </c>
      <c r="D124" s="1">
        <v>177.27</v>
      </c>
      <c r="E124" s="1">
        <f>motor_data_no_load[[#This Row],[Time (s)]]-1764251518</f>
        <v>68</v>
      </c>
      <c r="H124">
        <f>motor_data_no_load[[#This Row],[RPM]]</f>
        <v>177.27</v>
      </c>
    </row>
    <row r="125" spans="1:8" x14ac:dyDescent="0.25">
      <c r="A125">
        <v>1764251586</v>
      </c>
      <c r="B125" s="1">
        <v>55.05</v>
      </c>
      <c r="C125" s="1" t="s">
        <v>92</v>
      </c>
      <c r="D125" s="1">
        <v>196.59</v>
      </c>
      <c r="E125" s="1">
        <f>motor_data_no_load[[#This Row],[Time (s)]]-1764251518</f>
        <v>68</v>
      </c>
      <c r="H125">
        <f>motor_data_no_load[[#This Row],[RPM]]</f>
        <v>196.59</v>
      </c>
    </row>
    <row r="126" spans="1:8" x14ac:dyDescent="0.25">
      <c r="A126">
        <v>1764251587</v>
      </c>
      <c r="B126" s="1">
        <v>57.55</v>
      </c>
      <c r="C126" s="1" t="s">
        <v>93</v>
      </c>
      <c r="D126" s="1">
        <v>214.77</v>
      </c>
      <c r="E126" s="1">
        <f>motor_data_no_load[[#This Row],[Time (s)]]-1764251518</f>
        <v>69</v>
      </c>
      <c r="H126">
        <f>motor_data_no_load[[#This Row],[RPM]]</f>
        <v>214.77</v>
      </c>
    </row>
    <row r="127" spans="1:8" x14ac:dyDescent="0.25">
      <c r="A127">
        <v>1764251587</v>
      </c>
      <c r="B127" s="1">
        <v>60.05</v>
      </c>
      <c r="C127" s="1" t="s">
        <v>70</v>
      </c>
      <c r="D127" s="1">
        <v>235.23</v>
      </c>
      <c r="E127" s="1">
        <f>motor_data_no_load[[#This Row],[Time (s)]]-1764251518</f>
        <v>69</v>
      </c>
      <c r="H127">
        <f>motor_data_no_load[[#This Row],[RPM]]</f>
        <v>235.23</v>
      </c>
    </row>
    <row r="128" spans="1:8" x14ac:dyDescent="0.25">
      <c r="A128">
        <v>1764251588</v>
      </c>
      <c r="B128" s="1">
        <v>62.55</v>
      </c>
      <c r="C128" s="1" t="s">
        <v>94</v>
      </c>
      <c r="D128" s="1">
        <v>253.41</v>
      </c>
      <c r="E128" s="1">
        <f>motor_data_no_load[[#This Row],[Time (s)]]-1764251518</f>
        <v>70</v>
      </c>
      <c r="H128">
        <f>motor_data_no_load[[#This Row],[RPM]]</f>
        <v>253.41</v>
      </c>
    </row>
    <row r="129" spans="1:8" x14ac:dyDescent="0.25">
      <c r="A129">
        <v>1764251588</v>
      </c>
      <c r="B129" s="1">
        <v>65.05</v>
      </c>
      <c r="C129" s="1" t="s">
        <v>95</v>
      </c>
      <c r="D129" s="1">
        <v>270.45</v>
      </c>
      <c r="E129" s="1">
        <f>motor_data_no_load[[#This Row],[Time (s)]]-1764251518</f>
        <v>70</v>
      </c>
      <c r="H129">
        <f>motor_data_no_load[[#This Row],[RPM]]</f>
        <v>270.45</v>
      </c>
    </row>
    <row r="130" spans="1:8" x14ac:dyDescent="0.25">
      <c r="A130">
        <v>1764251589</v>
      </c>
      <c r="B130" s="1">
        <v>67.55</v>
      </c>
      <c r="C130" s="1" t="s">
        <v>96</v>
      </c>
      <c r="D130" s="1">
        <v>285.23</v>
      </c>
      <c r="E130" s="1">
        <f>motor_data_no_load[[#This Row],[Time (s)]]-1764251518</f>
        <v>71</v>
      </c>
      <c r="H130">
        <f>motor_data_no_load[[#This Row],[RPM]]</f>
        <v>285.23</v>
      </c>
    </row>
    <row r="131" spans="1:8" x14ac:dyDescent="0.25">
      <c r="A131">
        <v>1764251590</v>
      </c>
      <c r="B131" s="1">
        <v>70.05</v>
      </c>
      <c r="C131" s="1" t="s">
        <v>97</v>
      </c>
      <c r="D131" s="1">
        <v>303.41000000000003</v>
      </c>
      <c r="E131" s="1">
        <f>motor_data_no_load[[#This Row],[Time (s)]]-1764251518</f>
        <v>72</v>
      </c>
      <c r="H131">
        <f>motor_data_no_load[[#This Row],[RPM]]</f>
        <v>303.41000000000003</v>
      </c>
    </row>
    <row r="132" spans="1:8" x14ac:dyDescent="0.25">
      <c r="A132">
        <v>1764251590</v>
      </c>
      <c r="B132" s="1">
        <v>72.55</v>
      </c>
      <c r="C132" s="1" t="s">
        <v>98</v>
      </c>
      <c r="D132" s="1">
        <v>318.18</v>
      </c>
      <c r="E132" s="1">
        <f>motor_data_no_load[[#This Row],[Time (s)]]-1764251518</f>
        <v>72</v>
      </c>
      <c r="H132">
        <f>motor_data_no_load[[#This Row],[RPM]]</f>
        <v>318.18</v>
      </c>
    </row>
    <row r="133" spans="1:8" x14ac:dyDescent="0.25">
      <c r="A133">
        <v>1764251591</v>
      </c>
      <c r="B133" s="1">
        <v>75.05</v>
      </c>
      <c r="C133" s="1" t="s">
        <v>99</v>
      </c>
      <c r="D133" s="1">
        <v>332.95</v>
      </c>
      <c r="E133" s="1">
        <f>motor_data_no_load[[#This Row],[Time (s)]]-1764251518</f>
        <v>73</v>
      </c>
      <c r="H133">
        <f>motor_data_no_load[[#This Row],[RPM]]</f>
        <v>332.95</v>
      </c>
    </row>
    <row r="134" spans="1:8" x14ac:dyDescent="0.25">
      <c r="A134">
        <v>1764251591</v>
      </c>
      <c r="B134" s="1">
        <v>77.55</v>
      </c>
      <c r="C134" s="1" t="s">
        <v>100</v>
      </c>
      <c r="D134" s="1">
        <v>347.73</v>
      </c>
      <c r="E134" s="1">
        <f>motor_data_no_load[[#This Row],[Time (s)]]-1764251518</f>
        <v>73</v>
      </c>
      <c r="H134">
        <f>motor_data_no_load[[#This Row],[RPM]]</f>
        <v>347.73</v>
      </c>
    </row>
    <row r="135" spans="1:8" x14ac:dyDescent="0.25">
      <c r="A135">
        <v>1764251592</v>
      </c>
      <c r="B135" s="1">
        <v>80.05</v>
      </c>
      <c r="C135" s="1" t="s">
        <v>101</v>
      </c>
      <c r="D135" s="1">
        <v>359.09</v>
      </c>
      <c r="E135" s="1">
        <f>motor_data_no_load[[#This Row],[Time (s)]]-1764251518</f>
        <v>74</v>
      </c>
      <c r="H135">
        <f>motor_data_no_load[[#This Row],[RPM]]</f>
        <v>359.09</v>
      </c>
    </row>
    <row r="136" spans="1:8" x14ac:dyDescent="0.25">
      <c r="A136">
        <v>1764251592</v>
      </c>
      <c r="B136" s="1">
        <v>82.55</v>
      </c>
      <c r="C136" s="1" t="s">
        <v>102</v>
      </c>
      <c r="D136" s="1">
        <v>372.73</v>
      </c>
      <c r="E136" s="1">
        <f>motor_data_no_load[[#This Row],[Time (s)]]-1764251518</f>
        <v>74</v>
      </c>
      <c r="H136">
        <f>motor_data_no_load[[#This Row],[RPM]]</f>
        <v>372.73</v>
      </c>
    </row>
    <row r="137" spans="1:8" x14ac:dyDescent="0.25">
      <c r="A137">
        <v>1764251593</v>
      </c>
      <c r="B137" s="1">
        <v>85.05</v>
      </c>
      <c r="C137" s="1" t="s">
        <v>103</v>
      </c>
      <c r="D137" s="1">
        <v>385.23</v>
      </c>
      <c r="E137" s="1">
        <f>motor_data_no_load[[#This Row],[Time (s)]]-1764251518</f>
        <v>75</v>
      </c>
      <c r="H137">
        <f>motor_data_no_load[[#This Row],[RPM]]</f>
        <v>385.23</v>
      </c>
    </row>
    <row r="138" spans="1:8" x14ac:dyDescent="0.25">
      <c r="A138">
        <v>1764251593</v>
      </c>
      <c r="B138" s="1">
        <v>87.55</v>
      </c>
      <c r="C138" s="1" t="s">
        <v>104</v>
      </c>
      <c r="D138" s="1">
        <v>397.73</v>
      </c>
      <c r="E138" s="1">
        <f>motor_data_no_load[[#This Row],[Time (s)]]-1764251518</f>
        <v>75</v>
      </c>
      <c r="H138">
        <f>motor_data_no_load[[#This Row],[RPM]]</f>
        <v>397.73</v>
      </c>
    </row>
    <row r="139" spans="1:8" x14ac:dyDescent="0.25">
      <c r="A139">
        <v>1764251594</v>
      </c>
      <c r="B139" s="1">
        <v>90.05</v>
      </c>
      <c r="C139" s="1" t="s">
        <v>105</v>
      </c>
      <c r="D139" s="1">
        <v>406.82</v>
      </c>
      <c r="E139" s="1">
        <f>motor_data_no_load[[#This Row],[Time (s)]]-1764251518</f>
        <v>76</v>
      </c>
      <c r="H139">
        <f>motor_data_no_load[[#This Row],[RPM]]</f>
        <v>406.82</v>
      </c>
    </row>
    <row r="140" spans="1:8" x14ac:dyDescent="0.25">
      <c r="A140">
        <v>1764251594</v>
      </c>
      <c r="B140" s="1">
        <v>92.55</v>
      </c>
      <c r="C140" s="1" t="s">
        <v>56</v>
      </c>
      <c r="D140" s="1">
        <v>417.05</v>
      </c>
      <c r="E140" s="1">
        <f>motor_data_no_load[[#This Row],[Time (s)]]-1764251518</f>
        <v>76</v>
      </c>
      <c r="H140">
        <f>motor_data_no_load[[#This Row],[RPM]]</f>
        <v>417.05</v>
      </c>
    </row>
    <row r="141" spans="1:8" x14ac:dyDescent="0.25">
      <c r="A141">
        <v>1764251595</v>
      </c>
      <c r="B141" s="1">
        <v>95.05</v>
      </c>
      <c r="C141" s="1" t="s">
        <v>106</v>
      </c>
      <c r="D141" s="1">
        <v>425</v>
      </c>
      <c r="E141" s="1">
        <f>motor_data_no_load[[#This Row],[Time (s)]]-1764251518</f>
        <v>77</v>
      </c>
      <c r="H141">
        <f>motor_data_no_load[[#This Row],[RPM]]</f>
        <v>425</v>
      </c>
    </row>
    <row r="142" spans="1:8" x14ac:dyDescent="0.25">
      <c r="A142">
        <v>1764251596</v>
      </c>
      <c r="B142" s="1">
        <v>97.55</v>
      </c>
      <c r="C142" s="1" t="s">
        <v>107</v>
      </c>
      <c r="D142" s="1">
        <v>436.36</v>
      </c>
      <c r="E142" s="1">
        <f>motor_data_no_load[[#This Row],[Time (s)]]-1764251518</f>
        <v>78</v>
      </c>
      <c r="H142">
        <f>motor_data_no_load[[#This Row],[RPM]]</f>
        <v>436.36</v>
      </c>
    </row>
    <row r="143" spans="1:8" x14ac:dyDescent="0.25">
      <c r="A143">
        <v>1764251596</v>
      </c>
      <c r="B143" s="1">
        <v>100.05</v>
      </c>
      <c r="C143" s="1" t="s">
        <v>108</v>
      </c>
      <c r="D143" s="1">
        <v>439.77</v>
      </c>
      <c r="E143" s="1">
        <f>motor_data_no_load[[#This Row],[Time (s)]]-1764251518</f>
        <v>78</v>
      </c>
      <c r="H143">
        <f>motor_data_no_load[[#This Row],[RPM]]</f>
        <v>439.77</v>
      </c>
    </row>
    <row r="144" spans="1:8" x14ac:dyDescent="0.25">
      <c r="A144">
        <v>1764251597</v>
      </c>
      <c r="B144" s="1">
        <v>102.55</v>
      </c>
      <c r="C144" s="1" t="s">
        <v>109</v>
      </c>
      <c r="D144" s="1">
        <v>451.14</v>
      </c>
      <c r="E144" s="1">
        <f>motor_data_no_load[[#This Row],[Time (s)]]-1764251518</f>
        <v>79</v>
      </c>
      <c r="H144">
        <f>motor_data_no_load[[#This Row],[RPM]]</f>
        <v>451.14</v>
      </c>
    </row>
    <row r="145" spans="1:8" x14ac:dyDescent="0.25">
      <c r="A145">
        <v>1764251597</v>
      </c>
      <c r="B145" s="1">
        <v>105.05</v>
      </c>
      <c r="C145" s="1" t="s">
        <v>110</v>
      </c>
      <c r="D145" s="1">
        <v>459.09</v>
      </c>
      <c r="E145" s="1">
        <f>motor_data_no_load[[#This Row],[Time (s)]]-1764251518</f>
        <v>79</v>
      </c>
      <c r="H145">
        <f>motor_data_no_load[[#This Row],[RPM]]</f>
        <v>459.09</v>
      </c>
    </row>
    <row r="146" spans="1:8" x14ac:dyDescent="0.25">
      <c r="A146">
        <v>1764251598</v>
      </c>
      <c r="B146" s="1">
        <v>107.55</v>
      </c>
      <c r="C146" s="1" t="s">
        <v>50</v>
      </c>
      <c r="D146" s="1">
        <v>467.05</v>
      </c>
      <c r="E146" s="1">
        <f>motor_data_no_load[[#This Row],[Time (s)]]-1764251518</f>
        <v>80</v>
      </c>
      <c r="H146">
        <f>motor_data_no_load[[#This Row],[RPM]]</f>
        <v>467.05</v>
      </c>
    </row>
    <row r="147" spans="1:8" x14ac:dyDescent="0.25">
      <c r="A147">
        <v>1764251598</v>
      </c>
      <c r="B147" s="1">
        <v>110.05</v>
      </c>
      <c r="C147" s="1" t="s">
        <v>49</v>
      </c>
      <c r="D147" s="1">
        <v>475</v>
      </c>
      <c r="E147" s="1">
        <f>motor_data_no_load[[#This Row],[Time (s)]]-1764251518</f>
        <v>80</v>
      </c>
      <c r="H147">
        <f>motor_data_no_load[[#This Row],[RPM]]</f>
        <v>475</v>
      </c>
    </row>
    <row r="148" spans="1:8" x14ac:dyDescent="0.25">
      <c r="A148">
        <v>1764251599</v>
      </c>
      <c r="B148" s="1">
        <v>112.55</v>
      </c>
      <c r="C148" s="1" t="s">
        <v>111</v>
      </c>
      <c r="D148" s="1">
        <v>482.95</v>
      </c>
      <c r="E148" s="1">
        <f>motor_data_no_load[[#This Row],[Time (s)]]-1764251518</f>
        <v>81</v>
      </c>
      <c r="H148">
        <f>motor_data_no_load[[#This Row],[RPM]]</f>
        <v>482.95</v>
      </c>
    </row>
    <row r="149" spans="1:8" x14ac:dyDescent="0.25">
      <c r="A149">
        <v>1764251599</v>
      </c>
      <c r="B149" s="1">
        <v>115.05</v>
      </c>
      <c r="C149" s="1" t="s">
        <v>112</v>
      </c>
      <c r="D149" s="1">
        <v>492.05</v>
      </c>
      <c r="E149" s="1">
        <f>motor_data_no_load[[#This Row],[Time (s)]]-1764251518</f>
        <v>81</v>
      </c>
      <c r="H149">
        <f>motor_data_no_load[[#This Row],[RPM]]</f>
        <v>492.05</v>
      </c>
    </row>
    <row r="150" spans="1:8" x14ac:dyDescent="0.25">
      <c r="A150">
        <v>1764251600</v>
      </c>
      <c r="B150" s="1">
        <v>117.55</v>
      </c>
      <c r="C150" s="1" t="s">
        <v>113</v>
      </c>
      <c r="D150" s="1">
        <v>498.86</v>
      </c>
      <c r="E150" s="1">
        <f>motor_data_no_load[[#This Row],[Time (s)]]-1764251518</f>
        <v>82</v>
      </c>
      <c r="H150">
        <f>motor_data_no_load[[#This Row],[RPM]]</f>
        <v>498.86</v>
      </c>
    </row>
    <row r="151" spans="1:8" x14ac:dyDescent="0.25">
      <c r="A151">
        <v>1764251601</v>
      </c>
      <c r="B151" s="1">
        <v>120.05</v>
      </c>
      <c r="C151" s="1" t="s">
        <v>114</v>
      </c>
      <c r="D151" s="1">
        <v>505.68</v>
      </c>
      <c r="E151" s="1">
        <f>motor_data_no_load[[#This Row],[Time (s)]]-1764251518</f>
        <v>83</v>
      </c>
      <c r="H151">
        <f>motor_data_no_load[[#This Row],[RPM]]</f>
        <v>505.68</v>
      </c>
    </row>
    <row r="152" spans="1:8" x14ac:dyDescent="0.25">
      <c r="A152">
        <v>1764251601</v>
      </c>
      <c r="B152" s="1">
        <v>122.55</v>
      </c>
      <c r="C152" s="1" t="s">
        <v>115</v>
      </c>
      <c r="D152" s="1">
        <v>511.36</v>
      </c>
      <c r="E152" s="1">
        <f>motor_data_no_load[[#This Row],[Time (s)]]-1764251518</f>
        <v>83</v>
      </c>
      <c r="H152">
        <f>motor_data_no_load[[#This Row],[RPM]]</f>
        <v>511.36</v>
      </c>
    </row>
    <row r="153" spans="1:8" x14ac:dyDescent="0.25">
      <c r="A153">
        <v>1764251602</v>
      </c>
      <c r="B153" s="1">
        <v>125.05</v>
      </c>
      <c r="C153" s="1" t="s">
        <v>116</v>
      </c>
      <c r="D153" s="1">
        <v>518.17999999999995</v>
      </c>
      <c r="E153" s="1">
        <f>motor_data_no_load[[#This Row],[Time (s)]]-1764251518</f>
        <v>84</v>
      </c>
      <c r="H153">
        <f>motor_data_no_load[[#This Row],[RPM]]</f>
        <v>518.17999999999995</v>
      </c>
    </row>
    <row r="154" spans="1:8" x14ac:dyDescent="0.25">
      <c r="A154">
        <v>1764251602</v>
      </c>
      <c r="B154" s="1">
        <v>127.55</v>
      </c>
      <c r="C154" s="1" t="s">
        <v>117</v>
      </c>
      <c r="D154" s="1">
        <v>523.86</v>
      </c>
      <c r="E154" s="1">
        <f>motor_data_no_load[[#This Row],[Time (s)]]-1764251518</f>
        <v>84</v>
      </c>
      <c r="H154">
        <f>motor_data_no_load[[#This Row],[RPM]]</f>
        <v>523.86</v>
      </c>
    </row>
    <row r="155" spans="1:8" x14ac:dyDescent="0.25">
      <c r="A155">
        <v>1764251603</v>
      </c>
      <c r="B155" s="1">
        <v>130.05000000000001</v>
      </c>
      <c r="C155" s="1" t="s">
        <v>118</v>
      </c>
      <c r="D155" s="1">
        <v>530.67999999999995</v>
      </c>
      <c r="E155" s="1">
        <f>motor_data_no_load[[#This Row],[Time (s)]]-1764251518</f>
        <v>85</v>
      </c>
      <c r="H155">
        <f>motor_data_no_load[[#This Row],[RPM]]</f>
        <v>530.67999999999995</v>
      </c>
    </row>
    <row r="156" spans="1:8" x14ac:dyDescent="0.25">
      <c r="A156">
        <v>1764251603</v>
      </c>
      <c r="B156" s="1">
        <v>132.55000000000001</v>
      </c>
      <c r="C156" s="1" t="s">
        <v>119</v>
      </c>
      <c r="D156" s="1">
        <v>535.23</v>
      </c>
      <c r="E156" s="1">
        <f>motor_data_no_load[[#This Row],[Time (s)]]-1764251518</f>
        <v>85</v>
      </c>
      <c r="H156">
        <f>motor_data_no_load[[#This Row],[RPM]]</f>
        <v>535.23</v>
      </c>
    </row>
    <row r="157" spans="1:8" x14ac:dyDescent="0.25">
      <c r="A157">
        <v>1764251604</v>
      </c>
      <c r="B157" s="1">
        <v>135.05000000000001</v>
      </c>
      <c r="C157" s="1" t="s">
        <v>120</v>
      </c>
      <c r="D157" s="1">
        <v>539.77</v>
      </c>
      <c r="E157" s="1">
        <f>motor_data_no_load[[#This Row],[Time (s)]]-1764251518</f>
        <v>86</v>
      </c>
      <c r="H157">
        <f>motor_data_no_load[[#This Row],[RPM]]</f>
        <v>539.77</v>
      </c>
    </row>
    <row r="158" spans="1:8" x14ac:dyDescent="0.25">
      <c r="A158">
        <v>1764251604</v>
      </c>
      <c r="B158" s="1">
        <v>137.55000000000001</v>
      </c>
      <c r="C158" s="1" t="s">
        <v>121</v>
      </c>
      <c r="D158" s="1">
        <v>545.45000000000005</v>
      </c>
      <c r="E158" s="1">
        <f>motor_data_no_load[[#This Row],[Time (s)]]-1764251518</f>
        <v>86</v>
      </c>
      <c r="H158">
        <f>motor_data_no_load[[#This Row],[RPM]]</f>
        <v>545.45000000000005</v>
      </c>
    </row>
    <row r="159" spans="1:8" x14ac:dyDescent="0.25">
      <c r="A159">
        <v>1764251605</v>
      </c>
      <c r="B159" s="1">
        <v>140.05000000000001</v>
      </c>
      <c r="C159" s="1" t="s">
        <v>122</v>
      </c>
      <c r="D159" s="1">
        <v>548.86</v>
      </c>
      <c r="E159" s="1">
        <f>motor_data_no_load[[#This Row],[Time (s)]]-1764251518</f>
        <v>87</v>
      </c>
      <c r="H159">
        <f>motor_data_no_load[[#This Row],[RPM]]</f>
        <v>548.86</v>
      </c>
    </row>
    <row r="160" spans="1:8" x14ac:dyDescent="0.25">
      <c r="A160">
        <v>1764251606</v>
      </c>
      <c r="B160" s="1">
        <v>142.55000000000001</v>
      </c>
      <c r="C160" s="1" t="s">
        <v>123</v>
      </c>
      <c r="D160" s="1">
        <v>552.27</v>
      </c>
      <c r="E160" s="1">
        <f>motor_data_no_load[[#This Row],[Time (s)]]-1764251518</f>
        <v>88</v>
      </c>
      <c r="H160">
        <f>motor_data_no_load[[#This Row],[RPM]]</f>
        <v>552.27</v>
      </c>
    </row>
    <row r="161" spans="1:8" x14ac:dyDescent="0.25">
      <c r="A161">
        <v>1764251606</v>
      </c>
      <c r="B161" s="1">
        <v>145.05000000000001</v>
      </c>
      <c r="C161" s="1" t="s">
        <v>38</v>
      </c>
      <c r="D161" s="1">
        <v>562.5</v>
      </c>
      <c r="E161" s="1">
        <f>motor_data_no_load[[#This Row],[Time (s)]]-1764251518</f>
        <v>88</v>
      </c>
      <c r="H161">
        <f>motor_data_no_load[[#This Row],[RPM]]</f>
        <v>562.5</v>
      </c>
    </row>
    <row r="162" spans="1:8" x14ac:dyDescent="0.25">
      <c r="A162">
        <v>1764251607</v>
      </c>
      <c r="B162" s="1">
        <v>147.55000000000001</v>
      </c>
      <c r="C162" s="1" t="s">
        <v>38</v>
      </c>
      <c r="D162" s="1">
        <v>562.5</v>
      </c>
      <c r="E162" s="1">
        <f>motor_data_no_load[[#This Row],[Time (s)]]-1764251518</f>
        <v>89</v>
      </c>
      <c r="H162">
        <f>motor_data_no_load[[#This Row],[RPM]]</f>
        <v>562.5</v>
      </c>
    </row>
    <row r="163" spans="1:8" x14ac:dyDescent="0.25">
      <c r="A163">
        <v>1764251607</v>
      </c>
      <c r="B163" s="1">
        <v>150.05000000000001</v>
      </c>
      <c r="C163" s="1" t="s">
        <v>38</v>
      </c>
      <c r="D163" s="1">
        <v>562.5</v>
      </c>
      <c r="E163" s="1">
        <f>motor_data_no_load[[#This Row],[Time (s)]]-1764251518</f>
        <v>89</v>
      </c>
      <c r="H163">
        <f>motor_data_no_load[[#This Row],[RPM]]</f>
        <v>562.5</v>
      </c>
    </row>
    <row r="164" spans="1:8" x14ac:dyDescent="0.25">
      <c r="A164">
        <v>1764251608</v>
      </c>
      <c r="B164" s="1">
        <v>152.55000000000001</v>
      </c>
      <c r="C164" s="1" t="s">
        <v>37</v>
      </c>
      <c r="D164" s="1">
        <v>563.64</v>
      </c>
      <c r="E164" s="1">
        <f>motor_data_no_load[[#This Row],[Time (s)]]-1764251518</f>
        <v>90</v>
      </c>
      <c r="H164">
        <f>motor_data_no_load[[#This Row],[RPM]]</f>
        <v>563.64</v>
      </c>
    </row>
    <row r="165" spans="1:8" x14ac:dyDescent="0.25">
      <c r="A165">
        <v>1764251608</v>
      </c>
      <c r="B165" s="1">
        <v>155.05000000000001</v>
      </c>
      <c r="C165" s="1" t="s">
        <v>38</v>
      </c>
      <c r="D165" s="1">
        <v>562.5</v>
      </c>
      <c r="E165" s="1">
        <f>motor_data_no_load[[#This Row],[Time (s)]]-1764251518</f>
        <v>90</v>
      </c>
      <c r="H165">
        <f>motor_data_no_load[[#This Row],[RPM]]</f>
        <v>562.5</v>
      </c>
    </row>
    <row r="166" spans="1:8" x14ac:dyDescent="0.25">
      <c r="A166">
        <v>1764251609</v>
      </c>
      <c r="B166" s="1">
        <v>157.55000000000001</v>
      </c>
      <c r="C166" s="1" t="s">
        <v>38</v>
      </c>
      <c r="D166" s="1">
        <v>562.5</v>
      </c>
      <c r="E166" s="1">
        <f>motor_data_no_load[[#This Row],[Time (s)]]-1764251518</f>
        <v>91</v>
      </c>
      <c r="H166">
        <f>motor_data_no_load[[#This Row],[RPM]]</f>
        <v>562.5</v>
      </c>
    </row>
    <row r="167" spans="1:8" x14ac:dyDescent="0.25">
      <c r="A167">
        <v>1764251609</v>
      </c>
      <c r="B167" s="1">
        <v>160.05000000000001</v>
      </c>
      <c r="C167" s="1" t="s">
        <v>124</v>
      </c>
      <c r="D167" s="1">
        <v>577.27</v>
      </c>
      <c r="E167" s="1">
        <f>motor_data_no_load[[#This Row],[Time (s)]]-1764251518</f>
        <v>91</v>
      </c>
      <c r="H167">
        <f>motor_data_no_load[[#This Row],[RPM]]</f>
        <v>577.27</v>
      </c>
    </row>
    <row r="168" spans="1:8" x14ac:dyDescent="0.25">
      <c r="A168">
        <v>1764251610</v>
      </c>
      <c r="B168" s="1">
        <v>162.55000000000001</v>
      </c>
      <c r="C168" s="1" t="s">
        <v>32</v>
      </c>
      <c r="D168" s="1">
        <v>585.23</v>
      </c>
      <c r="E168" s="1">
        <f>motor_data_no_load[[#This Row],[Time (s)]]-1764251518</f>
        <v>92</v>
      </c>
      <c r="H168">
        <f>motor_data_no_load[[#This Row],[RPM]]</f>
        <v>585.23</v>
      </c>
    </row>
    <row r="169" spans="1:8" x14ac:dyDescent="0.25">
      <c r="A169">
        <v>1764251610</v>
      </c>
      <c r="B169" s="1">
        <v>165.05</v>
      </c>
      <c r="C169" s="1" t="s">
        <v>31</v>
      </c>
      <c r="D169" s="1">
        <v>587.5</v>
      </c>
      <c r="E169" s="1">
        <f>motor_data_no_load[[#This Row],[Time (s)]]-1764251518</f>
        <v>92</v>
      </c>
      <c r="H169">
        <f>motor_data_no_load[[#This Row],[RPM]]</f>
        <v>587.5</v>
      </c>
    </row>
    <row r="170" spans="1:8" x14ac:dyDescent="0.25">
      <c r="A170">
        <v>1764251611</v>
      </c>
      <c r="B170" s="1">
        <v>167.55</v>
      </c>
      <c r="C170" s="1" t="s">
        <v>30</v>
      </c>
      <c r="D170" s="1">
        <v>592.04999999999995</v>
      </c>
      <c r="E170" s="1">
        <f>motor_data_no_load[[#This Row],[Time (s)]]-1764251518</f>
        <v>93</v>
      </c>
      <c r="H170">
        <f>motor_data_no_load[[#This Row],[RPM]]</f>
        <v>592.04999999999995</v>
      </c>
    </row>
    <row r="171" spans="1:8" x14ac:dyDescent="0.25">
      <c r="A171">
        <v>1764251612</v>
      </c>
      <c r="B171" s="1">
        <v>170.05</v>
      </c>
      <c r="C171" s="1" t="s">
        <v>125</v>
      </c>
      <c r="D171" s="1">
        <v>595.45000000000005</v>
      </c>
      <c r="E171" s="1">
        <f>motor_data_no_load[[#This Row],[Time (s)]]-1764251518</f>
        <v>94</v>
      </c>
      <c r="H171">
        <f>motor_data_no_load[[#This Row],[RPM]]</f>
        <v>595.45000000000005</v>
      </c>
    </row>
    <row r="172" spans="1:8" x14ac:dyDescent="0.25">
      <c r="A172">
        <v>1764251612</v>
      </c>
      <c r="B172" s="1">
        <v>172.55</v>
      </c>
      <c r="C172" s="1" t="s">
        <v>126</v>
      </c>
      <c r="D172" s="1">
        <v>598.86</v>
      </c>
      <c r="E172" s="1">
        <f>motor_data_no_load[[#This Row],[Time (s)]]-1764251518</f>
        <v>94</v>
      </c>
      <c r="H172">
        <f>motor_data_no_load[[#This Row],[RPM]]</f>
        <v>598.86</v>
      </c>
    </row>
    <row r="173" spans="1:8" x14ac:dyDescent="0.25">
      <c r="A173">
        <v>1764251613</v>
      </c>
      <c r="B173" s="1">
        <v>175.05</v>
      </c>
      <c r="C173" s="1" t="s">
        <v>127</v>
      </c>
      <c r="D173" s="1">
        <v>601.14</v>
      </c>
      <c r="E173" s="1">
        <f>motor_data_no_load[[#This Row],[Time (s)]]-1764251518</f>
        <v>95</v>
      </c>
      <c r="H173">
        <f>motor_data_no_load[[#This Row],[RPM]]</f>
        <v>601.14</v>
      </c>
    </row>
    <row r="174" spans="1:8" x14ac:dyDescent="0.25">
      <c r="A174">
        <v>1764251613</v>
      </c>
      <c r="B174" s="1">
        <v>177.55</v>
      </c>
      <c r="C174" s="1" t="s">
        <v>26</v>
      </c>
      <c r="D174" s="1">
        <v>603.41</v>
      </c>
      <c r="E174" s="1">
        <f>motor_data_no_load[[#This Row],[Time (s)]]-1764251518</f>
        <v>95</v>
      </c>
      <c r="H174">
        <f>motor_data_no_load[[#This Row],[RPM]]</f>
        <v>603.41</v>
      </c>
    </row>
    <row r="175" spans="1:8" x14ac:dyDescent="0.25">
      <c r="A175">
        <v>1764251614</v>
      </c>
      <c r="B175" s="1">
        <v>180.05</v>
      </c>
      <c r="C175" s="1" t="s">
        <v>128</v>
      </c>
      <c r="D175" s="1">
        <v>606.82000000000005</v>
      </c>
      <c r="E175" s="1">
        <f>motor_data_no_load[[#This Row],[Time (s)]]-1764251518</f>
        <v>96</v>
      </c>
      <c r="H175">
        <f>motor_data_no_load[[#This Row],[RPM]]</f>
        <v>606.82000000000005</v>
      </c>
    </row>
    <row r="176" spans="1:8" x14ac:dyDescent="0.25">
      <c r="A176">
        <v>1764251614</v>
      </c>
      <c r="B176" s="1">
        <v>182.55</v>
      </c>
      <c r="C176" s="1" t="s">
        <v>129</v>
      </c>
      <c r="D176" s="1">
        <v>609.09</v>
      </c>
      <c r="E176" s="1">
        <f>motor_data_no_load[[#This Row],[Time (s)]]-1764251518</f>
        <v>96</v>
      </c>
      <c r="H176">
        <f>motor_data_no_load[[#This Row],[RPM]]</f>
        <v>609.09</v>
      </c>
    </row>
    <row r="177" spans="1:8" x14ac:dyDescent="0.25">
      <c r="A177">
        <v>1764251615</v>
      </c>
      <c r="B177" s="1">
        <v>185.05</v>
      </c>
      <c r="C177" s="1" t="s">
        <v>130</v>
      </c>
      <c r="D177" s="1">
        <v>612.5</v>
      </c>
      <c r="E177" s="1">
        <f>motor_data_no_load[[#This Row],[Time (s)]]-1764251518</f>
        <v>97</v>
      </c>
      <c r="H177">
        <f>motor_data_no_load[[#This Row],[RPM]]</f>
        <v>612.5</v>
      </c>
    </row>
    <row r="178" spans="1:8" x14ac:dyDescent="0.25">
      <c r="A178">
        <v>1764251615</v>
      </c>
      <c r="B178" s="1">
        <v>187.55</v>
      </c>
      <c r="C178" s="1" t="s">
        <v>20</v>
      </c>
      <c r="D178" s="1">
        <v>614.77</v>
      </c>
      <c r="E178" s="1">
        <f>motor_data_no_load[[#This Row],[Time (s)]]-1764251518</f>
        <v>97</v>
      </c>
      <c r="H178">
        <f>motor_data_no_load[[#This Row],[RPM]]</f>
        <v>614.77</v>
      </c>
    </row>
    <row r="179" spans="1:8" x14ac:dyDescent="0.25">
      <c r="A179">
        <v>1764251616</v>
      </c>
      <c r="B179" s="1">
        <v>190.05</v>
      </c>
      <c r="C179" s="1" t="s">
        <v>19</v>
      </c>
      <c r="D179" s="1">
        <v>617.04999999999995</v>
      </c>
      <c r="E179" s="1">
        <f>motor_data_no_load[[#This Row],[Time (s)]]-1764251518</f>
        <v>98</v>
      </c>
      <c r="H179">
        <f>motor_data_no_load[[#This Row],[RPM]]</f>
        <v>617.04999999999995</v>
      </c>
    </row>
    <row r="180" spans="1:8" x14ac:dyDescent="0.25">
      <c r="A180">
        <v>1764251617</v>
      </c>
      <c r="B180" s="1">
        <v>192.55</v>
      </c>
      <c r="C180" s="1" t="s">
        <v>131</v>
      </c>
      <c r="D180" s="1">
        <v>619.32000000000005</v>
      </c>
      <c r="E180" s="1">
        <f>motor_data_no_load[[#This Row],[Time (s)]]-1764251518</f>
        <v>99</v>
      </c>
      <c r="H180">
        <f>motor_data_no_load[[#This Row],[RPM]]</f>
        <v>619.32000000000005</v>
      </c>
    </row>
    <row r="181" spans="1:8" x14ac:dyDescent="0.25">
      <c r="A181">
        <v>1764251617</v>
      </c>
      <c r="B181" s="1">
        <v>195.05</v>
      </c>
      <c r="C181" s="1" t="s">
        <v>18</v>
      </c>
      <c r="D181" s="1">
        <v>620.45000000000005</v>
      </c>
      <c r="E181" s="1">
        <f>motor_data_no_load[[#This Row],[Time (s)]]-1764251518</f>
        <v>99</v>
      </c>
      <c r="H181">
        <f>motor_data_no_load[[#This Row],[RPM]]</f>
        <v>620.45000000000005</v>
      </c>
    </row>
    <row r="182" spans="1:8" x14ac:dyDescent="0.25">
      <c r="A182">
        <v>1764251618</v>
      </c>
      <c r="B182" s="1">
        <v>197.55</v>
      </c>
      <c r="C182" s="1" t="s">
        <v>16</v>
      </c>
      <c r="D182" s="1">
        <v>625</v>
      </c>
      <c r="E182" s="1">
        <f>motor_data_no_load[[#This Row],[Time (s)]]-1764251518</f>
        <v>100</v>
      </c>
      <c r="H182">
        <f>motor_data_no_load[[#This Row],[RPM]]</f>
        <v>625</v>
      </c>
    </row>
    <row r="183" spans="1:8" x14ac:dyDescent="0.25">
      <c r="A183">
        <v>1764251618</v>
      </c>
      <c r="B183" s="1">
        <v>200.05</v>
      </c>
      <c r="C183" s="1" t="s">
        <v>132</v>
      </c>
      <c r="D183" s="1">
        <v>630.67999999999995</v>
      </c>
      <c r="E183" s="1">
        <f>motor_data_no_load[[#This Row],[Time (s)]]-1764251518</f>
        <v>100</v>
      </c>
      <c r="H183">
        <f>motor_data_no_load[[#This Row],[RPM]]</f>
        <v>630.67999999999995</v>
      </c>
    </row>
    <row r="184" spans="1:8" x14ac:dyDescent="0.25">
      <c r="A184">
        <v>1764251619</v>
      </c>
      <c r="B184" s="1">
        <v>202.55</v>
      </c>
      <c r="C184" s="1" t="s">
        <v>13</v>
      </c>
      <c r="D184" s="1">
        <v>631.82000000000005</v>
      </c>
      <c r="E184" s="1">
        <f>motor_data_no_load[[#This Row],[Time (s)]]-1764251518</f>
        <v>101</v>
      </c>
      <c r="H184">
        <f>motor_data_no_load[[#This Row],[RPM]]</f>
        <v>631.82000000000005</v>
      </c>
    </row>
    <row r="185" spans="1:8" x14ac:dyDescent="0.25">
      <c r="A185">
        <v>1764251619</v>
      </c>
      <c r="B185" s="1">
        <v>205.05</v>
      </c>
      <c r="C185" s="1" t="s">
        <v>133</v>
      </c>
      <c r="D185" s="1">
        <v>636.36</v>
      </c>
      <c r="E185" s="1">
        <f>motor_data_no_load[[#This Row],[Time (s)]]-1764251518</f>
        <v>101</v>
      </c>
      <c r="H185">
        <f>motor_data_no_load[[#This Row],[RPM]]</f>
        <v>636.36</v>
      </c>
    </row>
    <row r="186" spans="1:8" x14ac:dyDescent="0.25">
      <c r="A186">
        <v>1764251620</v>
      </c>
      <c r="B186" s="1">
        <v>207.55</v>
      </c>
      <c r="C186" s="1" t="s">
        <v>10</v>
      </c>
      <c r="D186" s="1">
        <v>637.5</v>
      </c>
      <c r="E186" s="1">
        <f>motor_data_no_load[[#This Row],[Time (s)]]-1764251518</f>
        <v>102</v>
      </c>
      <c r="H186">
        <f>motor_data_no_load[[#This Row],[RPM]]</f>
        <v>637.5</v>
      </c>
    </row>
    <row r="187" spans="1:8" x14ac:dyDescent="0.25">
      <c r="A187">
        <v>1764251620</v>
      </c>
      <c r="B187" s="1">
        <v>210.05</v>
      </c>
      <c r="C187" s="1" t="s">
        <v>10</v>
      </c>
      <c r="D187" s="1">
        <v>637.5</v>
      </c>
      <c r="E187" s="1">
        <f>motor_data_no_load[[#This Row],[Time (s)]]-1764251518</f>
        <v>102</v>
      </c>
      <c r="H187">
        <f>motor_data_no_load[[#This Row],[RPM]]</f>
        <v>637.5</v>
      </c>
    </row>
    <row r="188" spans="1:8" x14ac:dyDescent="0.25">
      <c r="A188">
        <v>1764251621</v>
      </c>
      <c r="B188" s="1">
        <v>212.55</v>
      </c>
      <c r="C188" s="1" t="s">
        <v>9</v>
      </c>
      <c r="D188" s="1">
        <v>639.77</v>
      </c>
      <c r="E188" s="1">
        <f>motor_data_no_load[[#This Row],[Time (s)]]-1764251518</f>
        <v>103</v>
      </c>
      <c r="H188">
        <f>motor_data_no_load[[#This Row],[RPM]]</f>
        <v>639.77</v>
      </c>
    </row>
    <row r="189" spans="1:8" x14ac:dyDescent="0.25">
      <c r="A189">
        <v>1764251622</v>
      </c>
      <c r="B189" s="1">
        <v>215.05</v>
      </c>
      <c r="C189" s="1" t="s">
        <v>134</v>
      </c>
      <c r="D189" s="1">
        <v>644.32000000000005</v>
      </c>
      <c r="E189" s="1">
        <f>motor_data_no_load[[#This Row],[Time (s)]]-1764251518</f>
        <v>104</v>
      </c>
      <c r="H189">
        <f>motor_data_no_load[[#This Row],[RPM]]</f>
        <v>644.32000000000005</v>
      </c>
    </row>
    <row r="190" spans="1:8" x14ac:dyDescent="0.25">
      <c r="A190">
        <v>1764251622</v>
      </c>
      <c r="B190" s="1">
        <v>217.55</v>
      </c>
      <c r="C190" s="1" t="s">
        <v>135</v>
      </c>
      <c r="D190" s="1">
        <v>643.17999999999995</v>
      </c>
      <c r="E190" s="1">
        <f>motor_data_no_load[[#This Row],[Time (s)]]-1764251518</f>
        <v>104</v>
      </c>
      <c r="H190">
        <f>motor_data_no_load[[#This Row],[RPM]]</f>
        <v>643.17999999999995</v>
      </c>
    </row>
    <row r="191" spans="1:8" x14ac:dyDescent="0.25">
      <c r="A191">
        <v>1764251623</v>
      </c>
      <c r="B191" s="1">
        <v>220.05</v>
      </c>
      <c r="C191" s="1" t="s">
        <v>136</v>
      </c>
      <c r="D191" s="1">
        <v>645.45000000000005</v>
      </c>
      <c r="E191" s="1">
        <f>motor_data_no_load[[#This Row],[Time (s)]]-1764251518</f>
        <v>105</v>
      </c>
      <c r="H191">
        <f>motor_data_no_load[[#This Row],[RPM]]</f>
        <v>645.45000000000005</v>
      </c>
    </row>
    <row r="192" spans="1:8" x14ac:dyDescent="0.25">
      <c r="A192">
        <v>1764251623</v>
      </c>
      <c r="B192" s="1">
        <v>222.55</v>
      </c>
      <c r="C192" s="1" t="s">
        <v>137</v>
      </c>
      <c r="D192" s="1">
        <v>646.59</v>
      </c>
      <c r="E192" s="1">
        <f>motor_data_no_load[[#This Row],[Time (s)]]-1764251518</f>
        <v>105</v>
      </c>
      <c r="H192">
        <f>motor_data_no_load[[#This Row],[RPM]]</f>
        <v>646.59</v>
      </c>
    </row>
    <row r="193" spans="1:8" x14ac:dyDescent="0.25">
      <c r="A193">
        <v>1764251624</v>
      </c>
      <c r="B193" s="1">
        <v>225.05</v>
      </c>
      <c r="C193" s="1" t="s">
        <v>138</v>
      </c>
      <c r="D193" s="1">
        <v>648.86</v>
      </c>
      <c r="E193" s="1">
        <f>motor_data_no_load[[#This Row],[Time (s)]]-1764251518</f>
        <v>106</v>
      </c>
      <c r="H193">
        <f>motor_data_no_load[[#This Row],[RPM]]</f>
        <v>648.86</v>
      </c>
    </row>
    <row r="194" spans="1:8" x14ac:dyDescent="0.25">
      <c r="A194">
        <v>1764251624</v>
      </c>
      <c r="B194" s="1">
        <v>227.55</v>
      </c>
      <c r="C194" s="1" t="s">
        <v>7</v>
      </c>
      <c r="D194" s="1">
        <v>651.14</v>
      </c>
      <c r="E194" s="1">
        <f>motor_data_no_load[[#This Row],[Time (s)]]-1764251518</f>
        <v>106</v>
      </c>
      <c r="H194">
        <f>motor_data_no_load[[#This Row],[RPM]]</f>
        <v>651.14</v>
      </c>
    </row>
    <row r="195" spans="1:8" x14ac:dyDescent="0.25">
      <c r="A195">
        <v>1764251625</v>
      </c>
      <c r="B195" s="1">
        <v>230.05</v>
      </c>
      <c r="C195" s="1" t="s">
        <v>139</v>
      </c>
      <c r="D195" s="1">
        <v>653.41</v>
      </c>
      <c r="E195" s="1">
        <f>motor_data_no_load[[#This Row],[Time (s)]]-1764251518</f>
        <v>107</v>
      </c>
      <c r="H195">
        <f>motor_data_no_load[[#This Row],[RPM]]</f>
        <v>653.41</v>
      </c>
    </row>
    <row r="196" spans="1:8" x14ac:dyDescent="0.25">
      <c r="A196">
        <v>1764251625</v>
      </c>
      <c r="B196" s="1">
        <v>232.55</v>
      </c>
      <c r="C196" s="1" t="s">
        <v>140</v>
      </c>
      <c r="D196" s="1">
        <v>654.54999999999995</v>
      </c>
      <c r="E196" s="1">
        <f>motor_data_no_load[[#This Row],[Time (s)]]-1764251518</f>
        <v>107</v>
      </c>
      <c r="H196">
        <f>motor_data_no_load[[#This Row],[RPM]]</f>
        <v>654.54999999999995</v>
      </c>
    </row>
    <row r="197" spans="1:8" x14ac:dyDescent="0.25">
      <c r="A197">
        <v>1764251626</v>
      </c>
      <c r="B197" s="1">
        <v>235.05</v>
      </c>
      <c r="C197" s="1" t="s">
        <v>141</v>
      </c>
      <c r="D197" s="1">
        <v>656.82</v>
      </c>
      <c r="E197" s="1">
        <f>motor_data_no_load[[#This Row],[Time (s)]]-1764251518</f>
        <v>108</v>
      </c>
      <c r="H197">
        <f>motor_data_no_load[[#This Row],[RPM]]</f>
        <v>656.82</v>
      </c>
    </row>
    <row r="198" spans="1:8" x14ac:dyDescent="0.25">
      <c r="A198">
        <v>1764251626</v>
      </c>
      <c r="B198" s="1">
        <v>237.55</v>
      </c>
      <c r="C198" s="1" t="s">
        <v>141</v>
      </c>
      <c r="D198" s="1">
        <v>656.82</v>
      </c>
      <c r="E198" s="1">
        <f>motor_data_no_load[[#This Row],[Time (s)]]-1764251518</f>
        <v>108</v>
      </c>
      <c r="H198">
        <f>motor_data_no_load[[#This Row],[RPM]]</f>
        <v>656.82</v>
      </c>
    </row>
    <row r="199" spans="1:8" x14ac:dyDescent="0.25">
      <c r="A199">
        <v>1764251627</v>
      </c>
      <c r="B199" s="1">
        <v>240.05</v>
      </c>
      <c r="C199" s="1" t="s">
        <v>141</v>
      </c>
      <c r="D199" s="1">
        <v>656.82</v>
      </c>
      <c r="E199" s="1">
        <f>motor_data_no_load[[#This Row],[Time (s)]]-1764251518</f>
        <v>109</v>
      </c>
      <c r="H199">
        <f>motor_data_no_load[[#This Row],[RPM]]</f>
        <v>656.82</v>
      </c>
    </row>
    <row r="200" spans="1:8" x14ac:dyDescent="0.25">
      <c r="A200">
        <v>1764251628</v>
      </c>
      <c r="B200" s="1">
        <v>242.55</v>
      </c>
      <c r="C200" s="1" t="s">
        <v>142</v>
      </c>
      <c r="D200" s="1">
        <v>657.95</v>
      </c>
      <c r="E200" s="1">
        <f>motor_data_no_load[[#This Row],[Time (s)]]-1764251518</f>
        <v>110</v>
      </c>
      <c r="H200">
        <f>motor_data_no_load[[#This Row],[RPM]]</f>
        <v>657.95</v>
      </c>
    </row>
    <row r="201" spans="1:8" x14ac:dyDescent="0.25">
      <c r="A201">
        <v>1764251628</v>
      </c>
      <c r="B201" s="1">
        <v>245.05</v>
      </c>
      <c r="C201" s="1" t="s">
        <v>141</v>
      </c>
      <c r="D201" s="1">
        <v>656.82</v>
      </c>
      <c r="E201" s="1">
        <f>motor_data_no_load[[#This Row],[Time (s)]]-1764251518</f>
        <v>110</v>
      </c>
      <c r="H201">
        <f>motor_data_no_load[[#This Row],[RPM]]</f>
        <v>656.82</v>
      </c>
    </row>
    <row r="202" spans="1:8" x14ac:dyDescent="0.25">
      <c r="A202">
        <v>1764251629</v>
      </c>
      <c r="B202" s="1">
        <v>247.55</v>
      </c>
      <c r="C202" s="1" t="s">
        <v>143</v>
      </c>
      <c r="D202" s="1">
        <v>659.09</v>
      </c>
      <c r="E202" s="1">
        <f>motor_data_no_load[[#This Row],[Time (s)]]-1764251518</f>
        <v>111</v>
      </c>
      <c r="H202">
        <f>motor_data_no_load[[#This Row],[RPM]]</f>
        <v>659.09</v>
      </c>
    </row>
    <row r="203" spans="1:8" x14ac:dyDescent="0.25">
      <c r="A203">
        <v>1764251629</v>
      </c>
      <c r="B203" s="1">
        <v>250.05</v>
      </c>
      <c r="C203" s="1" t="s">
        <v>144</v>
      </c>
      <c r="D203" s="1">
        <v>664.77</v>
      </c>
      <c r="E203" s="1">
        <f>motor_data_no_load[[#This Row],[Time (s)]]-1764251518</f>
        <v>111</v>
      </c>
      <c r="H203">
        <f>motor_data_no_load[[#This Row],[RPM]]</f>
        <v>664.77</v>
      </c>
    </row>
    <row r="204" spans="1:8" x14ac:dyDescent="0.25">
      <c r="A204">
        <v>1764251630</v>
      </c>
      <c r="B204" s="1">
        <v>252.55</v>
      </c>
      <c r="C204" s="1" t="s">
        <v>145</v>
      </c>
      <c r="D204" s="1">
        <v>676.14</v>
      </c>
      <c r="E204" s="1">
        <f>motor_data_no_load[[#This Row],[Time (s)]]-1764251518</f>
        <v>112</v>
      </c>
      <c r="H204">
        <f>motor_data_no_load[[#This Row],[RPM]]</f>
        <v>676.14</v>
      </c>
    </row>
    <row r="205" spans="1:8" x14ac:dyDescent="0.25">
      <c r="A205">
        <v>1764251630</v>
      </c>
      <c r="B205" s="1">
        <v>255</v>
      </c>
      <c r="C205" s="1" t="s">
        <v>146</v>
      </c>
      <c r="D205" s="1">
        <v>684.09</v>
      </c>
      <c r="E205" s="1">
        <f>motor_data_no_load[[#This Row],[Time (s)]]-1764251518</f>
        <v>112</v>
      </c>
      <c r="H205">
        <f>motor_data_no_load[[#This Row],[RPM]]</f>
        <v>684.09</v>
      </c>
    </row>
    <row r="206" spans="1:8" x14ac:dyDescent="0.25">
      <c r="A206">
        <v>1764251631</v>
      </c>
      <c r="B206" s="1">
        <v>255</v>
      </c>
      <c r="C206" s="1" t="s">
        <v>147</v>
      </c>
      <c r="D206" s="1">
        <v>687.5</v>
      </c>
      <c r="E206" s="1">
        <f>motor_data_no_load[[#This Row],[Time (s)]]-1764251518</f>
        <v>113</v>
      </c>
      <c r="H206">
        <f>motor_data_no_load[[#This Row],[RPM]]</f>
        <v>687.5</v>
      </c>
    </row>
    <row r="207" spans="1:8" x14ac:dyDescent="0.25">
      <c r="A207">
        <v>1764251631</v>
      </c>
      <c r="B207" s="1">
        <v>255</v>
      </c>
      <c r="C207" s="1" t="s">
        <v>148</v>
      </c>
      <c r="D207" s="1">
        <v>686.36</v>
      </c>
      <c r="E207" s="1">
        <f>motor_data_no_load[[#This Row],[Time (s)]]-1764251518</f>
        <v>113</v>
      </c>
      <c r="H207">
        <f>motor_data_no_load[[#This Row],[RPM]]</f>
        <v>686.36</v>
      </c>
    </row>
    <row r="208" spans="1:8" x14ac:dyDescent="0.25">
      <c r="A208">
        <v>1764251632</v>
      </c>
      <c r="B208" s="1">
        <v>255</v>
      </c>
      <c r="C208" s="1" t="s">
        <v>147</v>
      </c>
      <c r="D208" s="1">
        <v>687.5</v>
      </c>
      <c r="E208" s="1">
        <f>motor_data_no_load[[#This Row],[Time (s)]]-1764251518</f>
        <v>114</v>
      </c>
      <c r="H208">
        <f>motor_data_no_load[[#This Row],[RPM]]</f>
        <v>687.5</v>
      </c>
    </row>
    <row r="209" spans="1:8" x14ac:dyDescent="0.25">
      <c r="A209">
        <v>1764251633</v>
      </c>
      <c r="B209" s="1">
        <v>255</v>
      </c>
      <c r="C209" s="1" t="s">
        <v>147</v>
      </c>
      <c r="D209" s="1">
        <v>687.5</v>
      </c>
      <c r="E209" s="1">
        <f>motor_data_no_load[[#This Row],[Time (s)]]-1764251518</f>
        <v>115</v>
      </c>
      <c r="H209">
        <f>motor_data_no_load[[#This Row],[RPM]]</f>
        <v>687.5</v>
      </c>
    </row>
    <row r="210" spans="1:8" x14ac:dyDescent="0.25">
      <c r="A210">
        <v>1764251633</v>
      </c>
      <c r="B210" s="1">
        <v>255</v>
      </c>
      <c r="C210" s="1" t="s">
        <v>149</v>
      </c>
      <c r="D210" s="1">
        <v>688.64</v>
      </c>
      <c r="E210" s="1">
        <f>motor_data_no_load[[#This Row],[Time (s)]]-1764251518</f>
        <v>115</v>
      </c>
      <c r="H210">
        <f>motor_data_no_load[[#This Row],[RPM]]</f>
        <v>688.64</v>
      </c>
    </row>
    <row r="211" spans="1:8" x14ac:dyDescent="0.25">
      <c r="A211">
        <v>1764251634</v>
      </c>
      <c r="B211" s="1">
        <v>255</v>
      </c>
      <c r="C211" s="1" t="s">
        <v>147</v>
      </c>
      <c r="D211" s="1">
        <v>687.5</v>
      </c>
      <c r="E211" s="1">
        <f>motor_data_no_load[[#This Row],[Time (s)]]-1764251518</f>
        <v>116</v>
      </c>
      <c r="H211">
        <f>motor_data_no_load[[#This Row],[RPM]]</f>
        <v>687.5</v>
      </c>
    </row>
    <row r="212" spans="1:8" x14ac:dyDescent="0.25">
      <c r="A212">
        <v>1764251634</v>
      </c>
      <c r="B212" s="1">
        <v>255</v>
      </c>
      <c r="C212" s="1" t="s">
        <v>147</v>
      </c>
      <c r="D212" s="1">
        <v>687.5</v>
      </c>
      <c r="E212" s="1">
        <f>motor_data_no_load[[#This Row],[Time (s)]]-1764251518</f>
        <v>116</v>
      </c>
      <c r="H212">
        <f>motor_data_no_load[[#This Row],[RPM]]</f>
        <v>687.5</v>
      </c>
    </row>
    <row r="213" spans="1:8" x14ac:dyDescent="0.25">
      <c r="A213">
        <v>1764251635</v>
      </c>
      <c r="B213" s="1">
        <v>255</v>
      </c>
      <c r="C213" s="1" t="s">
        <v>147</v>
      </c>
      <c r="D213" s="1">
        <v>687.5</v>
      </c>
      <c r="E213" s="1">
        <f>motor_data_no_load[[#This Row],[Time (s)]]-1764251518</f>
        <v>117</v>
      </c>
      <c r="H213">
        <f>motor_data_no_load[[#This Row],[RPM]]</f>
        <v>687.5</v>
      </c>
    </row>
    <row r="214" spans="1:8" x14ac:dyDescent="0.25">
      <c r="A214">
        <v>1764251635</v>
      </c>
      <c r="B214" s="1">
        <v>255</v>
      </c>
      <c r="C214" s="1" t="s">
        <v>149</v>
      </c>
      <c r="D214" s="1">
        <v>688.64</v>
      </c>
      <c r="E214" s="1">
        <f>motor_data_no_load[[#This Row],[Time (s)]]-1764251518</f>
        <v>117</v>
      </c>
      <c r="H214">
        <f>motor_data_no_load[[#This Row],[RPM]]</f>
        <v>688.64</v>
      </c>
    </row>
    <row r="215" spans="1:8" x14ac:dyDescent="0.25">
      <c r="A215">
        <v>1764251636</v>
      </c>
      <c r="B215" s="1">
        <v>255</v>
      </c>
      <c r="C215" s="1" t="s">
        <v>149</v>
      </c>
      <c r="D215" s="1">
        <v>688.64</v>
      </c>
      <c r="E215" s="1">
        <f>motor_data_no_load[[#This Row],[Time (s)]]-1764251518</f>
        <v>118</v>
      </c>
      <c r="H215">
        <f>motor_data_no_load[[#This Row],[RPM]]</f>
        <v>688.64</v>
      </c>
    </row>
    <row r="216" spans="1:8" x14ac:dyDescent="0.25">
      <c r="A216">
        <v>1764251636</v>
      </c>
      <c r="B216" s="1">
        <v>255</v>
      </c>
      <c r="C216" s="1" t="s">
        <v>147</v>
      </c>
      <c r="D216" s="1">
        <v>687.5</v>
      </c>
      <c r="E216" s="1">
        <f>motor_data_no_load[[#This Row],[Time (s)]]-1764251518</f>
        <v>118</v>
      </c>
      <c r="H216">
        <f>motor_data_no_load[[#This Row],[RPM]]</f>
        <v>687.5</v>
      </c>
    </row>
    <row r="217" spans="1:8" x14ac:dyDescent="0.25">
      <c r="A217">
        <v>1764251637</v>
      </c>
      <c r="B217" s="1">
        <v>255</v>
      </c>
      <c r="C217" s="1" t="s">
        <v>149</v>
      </c>
      <c r="D217" s="1">
        <v>688.64</v>
      </c>
      <c r="E217" s="1">
        <f>motor_data_no_load[[#This Row],[Time (s)]]-1764251518</f>
        <v>119</v>
      </c>
      <c r="H217">
        <f>motor_data_no_load[[#This Row],[RPM]]</f>
        <v>688.64</v>
      </c>
    </row>
    <row r="218" spans="1:8" x14ac:dyDescent="0.25">
      <c r="A218">
        <v>1764251638</v>
      </c>
      <c r="B218" s="1">
        <v>255</v>
      </c>
      <c r="C218" s="1" t="s">
        <v>150</v>
      </c>
      <c r="D218" s="1">
        <v>689.77</v>
      </c>
      <c r="E218" s="1">
        <f>motor_data_no_load[[#This Row],[Time (s)]]-1764251518</f>
        <v>120</v>
      </c>
      <c r="H218">
        <f>motor_data_no_load[[#This Row],[RPM]]</f>
        <v>689.77</v>
      </c>
    </row>
    <row r="219" spans="1:8" x14ac:dyDescent="0.25">
      <c r="A219">
        <v>1764251638</v>
      </c>
      <c r="B219" s="1">
        <v>255</v>
      </c>
      <c r="C219" s="1" t="s">
        <v>147</v>
      </c>
      <c r="D219" s="1">
        <v>687.5</v>
      </c>
      <c r="E219" s="1">
        <f>motor_data_no_load[[#This Row],[Time (s)]]-1764251518</f>
        <v>120</v>
      </c>
      <c r="H219">
        <f>motor_data_no_load[[#This Row],[RPM]]</f>
        <v>687.5</v>
      </c>
    </row>
    <row r="220" spans="1:8" x14ac:dyDescent="0.25">
      <c r="A220">
        <v>1764251639</v>
      </c>
      <c r="B220" s="1">
        <v>255</v>
      </c>
      <c r="C220" s="1" t="s">
        <v>149</v>
      </c>
      <c r="D220" s="1">
        <v>688.64</v>
      </c>
      <c r="E220" s="1">
        <f>motor_data_no_load[[#This Row],[Time (s)]]-1764251518</f>
        <v>121</v>
      </c>
      <c r="H220">
        <f>motor_data_no_load[[#This Row],[RPM]]</f>
        <v>688.64</v>
      </c>
    </row>
    <row r="221" spans="1:8" x14ac:dyDescent="0.25">
      <c r="A221">
        <v>1764251639</v>
      </c>
      <c r="B221" s="1">
        <v>255</v>
      </c>
      <c r="C221" s="1" t="s">
        <v>149</v>
      </c>
      <c r="D221" s="1">
        <v>688.64</v>
      </c>
      <c r="E221" s="1">
        <f>motor_data_no_load[[#This Row],[Time (s)]]-1764251518</f>
        <v>121</v>
      </c>
      <c r="H221">
        <f>motor_data_no_load[[#This Row],[RPM]]</f>
        <v>688.64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FAFA-8806-4E31-90B9-697683BEF7A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CE22B2-FD52-40FE-8726-D19F90D14D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motor_data_no_load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geronimo</dc:creator>
  <cp:lastModifiedBy>emanuel geronimo</cp:lastModifiedBy>
  <dcterms:created xsi:type="dcterms:W3CDTF">2025-11-27T22:57:36Z</dcterms:created>
  <dcterms:modified xsi:type="dcterms:W3CDTF">2025-11-27T23:19:16Z</dcterms:modified>
</cp:coreProperties>
</file>