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EF\Desktop\"/>
    </mc:Choice>
  </mc:AlternateContent>
  <xr:revisionPtr revIDLastSave="0" documentId="13_ncr:1_{AB854433-9EA1-498E-B5F0-823BCBE8297C}" xr6:coauthVersionLast="47" xr6:coauthVersionMax="47" xr10:uidLastSave="{00000000-0000-0000-0000-000000000000}"/>
  <bookViews>
    <workbookView xWindow="-120" yWindow="-120" windowWidth="29040" windowHeight="15720" xr2:uid="{6D33188C-4010-4886-BBAC-AF118F401386}"/>
  </bookViews>
  <sheets>
    <sheet name="motor_data_8screws_8bolts_e (2)" sheetId="2" r:id="rId1"/>
  </sheets>
  <definedNames>
    <definedName name="_xlchart.v1.0" hidden="1">'motor_data_8screws_8bolts_e (2)'!$B$2:$B$217</definedName>
    <definedName name="_xlchart.v1.1" hidden="1">'motor_data_8screws_8bolts_e (2)'!$D$2:$D$217</definedName>
    <definedName name="DadosExternos_1" localSheetId="0" hidden="1">'motor_data_8screws_8bolts_e (2)'!$A$1:$D$217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2" l="1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95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3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93D54A-0924-41FD-8860-181C7394E549}" keepAlive="1" name="Consulta - motor_data_8screws_8bolts_evenly_distributed" description="Ligação à consulta 'motor_data_8screws_8bolts_evenly_distributed' no livro." type="5" refreshedVersion="8" background="1" saveData="1">
    <dbPr connection="Provider=Microsoft.Mashup.OleDb.1;Data Source=$Workbook$;Location=motor_data_8screws_8bolts_evenly_distributed;Extended Properties=&quot;&quot;" command="SELECT * FROM [motor_data_8screws_8bolts_evenly_distributed]"/>
  </connection>
</connections>
</file>

<file path=xl/sharedStrings.xml><?xml version="1.0" encoding="utf-8"?>
<sst xmlns="http://schemas.openxmlformats.org/spreadsheetml/2006/main" count="223" uniqueCount="158">
  <si>
    <t>Time (s)</t>
  </si>
  <si>
    <t>Output</t>
  </si>
  <si>
    <t>Frequency (Hz)</t>
  </si>
  <si>
    <t>RPM</t>
  </si>
  <si>
    <t>time normalized</t>
  </si>
  <si>
    <t>54,73 Hz</t>
  </si>
  <si>
    <t>100,91 Hz</t>
  </si>
  <si>
    <t>104,73 Hz</t>
  </si>
  <si>
    <t>104,36 Hz</t>
  </si>
  <si>
    <t>103,27 Hz</t>
  </si>
  <si>
    <t>102,91 Hz</t>
  </si>
  <si>
    <t>102,73 Hz</t>
  </si>
  <si>
    <t>102,55 Hz</t>
  </si>
  <si>
    <t>102,18 Hz</t>
  </si>
  <si>
    <t>101,82 Hz</t>
  </si>
  <si>
    <t>101,45 Hz</t>
  </si>
  <si>
    <t>101,27 Hz</t>
  </si>
  <si>
    <t>100,73 Hz</t>
  </si>
  <si>
    <t>100,36 Hz</t>
  </si>
  <si>
    <t>100,18 Hz</t>
  </si>
  <si>
    <t>99,82 Hz</t>
  </si>
  <si>
    <t>99,27 Hz</t>
  </si>
  <si>
    <t>98,91 Hz</t>
  </si>
  <si>
    <t>98,55 Hz</t>
  </si>
  <si>
    <t>98,36 Hz</t>
  </si>
  <si>
    <t>97,82 Hz</t>
  </si>
  <si>
    <t>97,45 Hz</t>
  </si>
  <si>
    <t>97,09 Hz</t>
  </si>
  <si>
    <t>96,91 Hz</t>
  </si>
  <si>
    <t>96,36 Hz</t>
  </si>
  <si>
    <t>96,00 Hz</t>
  </si>
  <si>
    <t>95,64 Hz</t>
  </si>
  <si>
    <t>95,27 Hz</t>
  </si>
  <si>
    <t>94,73 Hz</t>
  </si>
  <si>
    <t>94,36 Hz</t>
  </si>
  <si>
    <t>93,82 Hz</t>
  </si>
  <si>
    <t>93,27 Hz</t>
  </si>
  <si>
    <t>92,91 Hz</t>
  </si>
  <si>
    <t>92,36 Hz</t>
  </si>
  <si>
    <t>92,18 Hz</t>
  </si>
  <si>
    <t>91,64 Hz</t>
  </si>
  <si>
    <t>91,45 Hz</t>
  </si>
  <si>
    <t>90,91 Hz</t>
  </si>
  <si>
    <t>90,00 Hz</t>
  </si>
  <si>
    <t>89,45 Hz</t>
  </si>
  <si>
    <t>88,91 Hz</t>
  </si>
  <si>
    <t>88,18 Hz</t>
  </si>
  <si>
    <t>87,82 Hz</t>
  </si>
  <si>
    <t>86,91 Hz</t>
  </si>
  <si>
    <t>86,36 Hz</t>
  </si>
  <si>
    <t>85,27 Hz</t>
  </si>
  <si>
    <t>84,73 Hz</t>
  </si>
  <si>
    <t>84,00 Hz</t>
  </si>
  <si>
    <t>83,09 Hz</t>
  </si>
  <si>
    <t>82,36 Hz</t>
  </si>
  <si>
    <t>81,45 Hz</t>
  </si>
  <si>
    <t>80,55 Hz</t>
  </si>
  <si>
    <t>79,64 Hz</t>
  </si>
  <si>
    <t>78,55 Hz</t>
  </si>
  <si>
    <t>77,64 Hz</t>
  </si>
  <si>
    <t>76,55 Hz</t>
  </si>
  <si>
    <t>75,27 Hz</t>
  </si>
  <si>
    <t>74,00 Hz</t>
  </si>
  <si>
    <t>72,73 Hz</t>
  </si>
  <si>
    <t>71,45 Hz</t>
  </si>
  <si>
    <t>70,00 Hz</t>
  </si>
  <si>
    <t>68,73 Hz</t>
  </si>
  <si>
    <t>67,45 Hz</t>
  </si>
  <si>
    <t>65,64 Hz</t>
  </si>
  <si>
    <t>63,82 Hz</t>
  </si>
  <si>
    <t>62,00 Hz</t>
  </si>
  <si>
    <t>60,36 Hz</t>
  </si>
  <si>
    <t>58,73 Hz</t>
  </si>
  <si>
    <t>56,73 Hz</t>
  </si>
  <si>
    <t>54,91 Hz</t>
  </si>
  <si>
    <t>52,91 Hz</t>
  </si>
  <si>
    <t>50,91 Hz</t>
  </si>
  <si>
    <t>48,55 Hz</t>
  </si>
  <si>
    <t>46,00 Hz</t>
  </si>
  <si>
    <t>43,45 Hz</t>
  </si>
  <si>
    <t>41,09 Hz</t>
  </si>
  <si>
    <t>38,36 Hz</t>
  </si>
  <si>
    <t>35,82 Hz</t>
  </si>
  <si>
    <t>32,91 Hz</t>
  </si>
  <si>
    <t>30,36 Hz</t>
  </si>
  <si>
    <t>27,09 Hz</t>
  </si>
  <si>
    <t>24,18 Hz</t>
  </si>
  <si>
    <t>21,09 Hz</t>
  </si>
  <si>
    <t>17,82 Hz</t>
  </si>
  <si>
    <t>14,73 Hz</t>
  </si>
  <si>
    <t>11,27 Hz</t>
  </si>
  <si>
    <t>7,64 Hz</t>
  </si>
  <si>
    <t>4,73 Hz</t>
  </si>
  <si>
    <t>0,91 Hz</t>
  </si>
  <si>
    <t>0,00 Hz</t>
  </si>
  <si>
    <t>0,18 Hz</t>
  </si>
  <si>
    <t>3,27 Hz</t>
  </si>
  <si>
    <t>7,27 Hz</t>
  </si>
  <si>
    <t>10,91 Hz</t>
  </si>
  <si>
    <t>14,36 Hz</t>
  </si>
  <si>
    <t>18,18 Hz</t>
  </si>
  <si>
    <t>21,45 Hz</t>
  </si>
  <si>
    <t>25,09 Hz</t>
  </si>
  <si>
    <t>28,18 Hz</t>
  </si>
  <si>
    <t>31,09 Hz</t>
  </si>
  <si>
    <t>34,18 Hz</t>
  </si>
  <si>
    <t>37,27 Hz</t>
  </si>
  <si>
    <t>40,18 Hz</t>
  </si>
  <si>
    <t>43,09 Hz</t>
  </si>
  <si>
    <t>45,82 Hz</t>
  </si>
  <si>
    <t>53,27 Hz</t>
  </si>
  <si>
    <t>55,27 Hz</t>
  </si>
  <si>
    <t>57,64 Hz</t>
  </si>
  <si>
    <t>59,45 Hz</t>
  </si>
  <si>
    <t>61,27 Hz</t>
  </si>
  <si>
    <t>62,91 Hz</t>
  </si>
  <si>
    <t>64,73 Hz</t>
  </si>
  <si>
    <t>66,55 Hz</t>
  </si>
  <si>
    <t>70,18 Hz</t>
  </si>
  <si>
    <t>71,27 Hz</t>
  </si>
  <si>
    <t>72,55 Hz</t>
  </si>
  <si>
    <t>73,82 Hz</t>
  </si>
  <si>
    <t>75,09 Hz</t>
  </si>
  <si>
    <t>76,18 Hz</t>
  </si>
  <si>
    <t>77,45 Hz</t>
  </si>
  <si>
    <t>78,73 Hz</t>
  </si>
  <si>
    <t>79,27 Hz</t>
  </si>
  <si>
    <t>80,18 Hz</t>
  </si>
  <si>
    <t>81,27 Hz</t>
  </si>
  <si>
    <t>82,55 Hz</t>
  </si>
  <si>
    <t>83,64 Hz</t>
  </si>
  <si>
    <t>84,55 Hz</t>
  </si>
  <si>
    <t>85,09 Hz</t>
  </si>
  <si>
    <t>85,82 Hz</t>
  </si>
  <si>
    <t>86,18 Hz</t>
  </si>
  <si>
    <t>87,09 Hz</t>
  </si>
  <si>
    <t>88,36 Hz</t>
  </si>
  <si>
    <t>90,18 Hz</t>
  </si>
  <si>
    <t>91,09 Hz</t>
  </si>
  <si>
    <t>92,55 Hz</t>
  </si>
  <si>
    <t>93,09 Hz</t>
  </si>
  <si>
    <t>94,55 Hz</t>
  </si>
  <si>
    <t>94,91 Hz</t>
  </si>
  <si>
    <t>95,82 Hz</t>
  </si>
  <si>
    <t>96,18 Hz</t>
  </si>
  <si>
    <t>96,55 Hz</t>
  </si>
  <si>
    <t>97,27 Hz</t>
  </si>
  <si>
    <t>99,64 Hz</t>
  </si>
  <si>
    <t>100,00 Hz</t>
  </si>
  <si>
    <t>102,00 Hz</t>
  </si>
  <si>
    <t>102,36 Hz</t>
  </si>
  <si>
    <t>106,91 Hz</t>
  </si>
  <si>
    <t>107,82 Hz</t>
  </si>
  <si>
    <t>108,18 Hz</t>
  </si>
  <si>
    <t>108,00 Hz</t>
  </si>
  <si>
    <t>108,36 Hz</t>
  </si>
  <si>
    <t>ignore row</t>
  </si>
  <si>
    <t>rpm with negatives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</si>
</sst>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Absolute Value of the RPM</a:t>
            </a:r>
            <a:r>
              <a:rPr lang="en-US" baseline="0"/>
              <a:t> as a function of the PWM (Wheel + 8 Bolts + 8 Nuts as Load)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'motor_data_8screws_8bolts_e (2)'!$B$3:$B$217</c:f>
              <c:numCache>
                <c:formatCode>General</c:formatCode>
                <c:ptCount val="215"/>
                <c:pt idx="0">
                  <c:v>-249.95</c:v>
                </c:pt>
                <c:pt idx="1">
                  <c:v>-247.45</c:v>
                </c:pt>
                <c:pt idx="2">
                  <c:v>-244.95</c:v>
                </c:pt>
                <c:pt idx="3">
                  <c:v>-242.45</c:v>
                </c:pt>
                <c:pt idx="4">
                  <c:v>-239.95</c:v>
                </c:pt>
                <c:pt idx="5">
                  <c:v>-237.45</c:v>
                </c:pt>
                <c:pt idx="6">
                  <c:v>-234.95</c:v>
                </c:pt>
                <c:pt idx="7">
                  <c:v>-232.45</c:v>
                </c:pt>
                <c:pt idx="8">
                  <c:v>-229.95</c:v>
                </c:pt>
                <c:pt idx="9">
                  <c:v>-227.45</c:v>
                </c:pt>
                <c:pt idx="10">
                  <c:v>-224.95</c:v>
                </c:pt>
                <c:pt idx="11">
                  <c:v>-222.45</c:v>
                </c:pt>
                <c:pt idx="12">
                  <c:v>-219.95</c:v>
                </c:pt>
                <c:pt idx="13">
                  <c:v>-217.45</c:v>
                </c:pt>
                <c:pt idx="14">
                  <c:v>-214.95</c:v>
                </c:pt>
                <c:pt idx="15">
                  <c:v>-212.45</c:v>
                </c:pt>
                <c:pt idx="16">
                  <c:v>-209.95</c:v>
                </c:pt>
                <c:pt idx="17">
                  <c:v>-207.45</c:v>
                </c:pt>
                <c:pt idx="18">
                  <c:v>-204.95</c:v>
                </c:pt>
                <c:pt idx="19">
                  <c:v>-202.45</c:v>
                </c:pt>
                <c:pt idx="20">
                  <c:v>-199.95</c:v>
                </c:pt>
                <c:pt idx="21">
                  <c:v>-197.45</c:v>
                </c:pt>
                <c:pt idx="22">
                  <c:v>-194.95</c:v>
                </c:pt>
                <c:pt idx="23">
                  <c:v>-192.45</c:v>
                </c:pt>
                <c:pt idx="24">
                  <c:v>-189.95</c:v>
                </c:pt>
                <c:pt idx="25">
                  <c:v>-187.45</c:v>
                </c:pt>
                <c:pt idx="26">
                  <c:v>-184.95</c:v>
                </c:pt>
                <c:pt idx="27">
                  <c:v>-182.45</c:v>
                </c:pt>
                <c:pt idx="28">
                  <c:v>-179.95</c:v>
                </c:pt>
                <c:pt idx="29">
                  <c:v>-177.45</c:v>
                </c:pt>
                <c:pt idx="30">
                  <c:v>-174.95</c:v>
                </c:pt>
                <c:pt idx="31">
                  <c:v>-172.45</c:v>
                </c:pt>
                <c:pt idx="32">
                  <c:v>-169.95</c:v>
                </c:pt>
                <c:pt idx="33">
                  <c:v>-167.45</c:v>
                </c:pt>
                <c:pt idx="34">
                  <c:v>-164.95</c:v>
                </c:pt>
                <c:pt idx="35">
                  <c:v>-162.44999999999999</c:v>
                </c:pt>
                <c:pt idx="36">
                  <c:v>-159.94999999999999</c:v>
                </c:pt>
                <c:pt idx="37">
                  <c:v>-157.44999999999999</c:v>
                </c:pt>
                <c:pt idx="38">
                  <c:v>-154.94999999999999</c:v>
                </c:pt>
                <c:pt idx="39">
                  <c:v>-152.44999999999999</c:v>
                </c:pt>
                <c:pt idx="40">
                  <c:v>-149.94999999999999</c:v>
                </c:pt>
                <c:pt idx="41">
                  <c:v>-147.44999999999999</c:v>
                </c:pt>
                <c:pt idx="42">
                  <c:v>-144.94999999999999</c:v>
                </c:pt>
                <c:pt idx="43">
                  <c:v>-142.44999999999999</c:v>
                </c:pt>
                <c:pt idx="44">
                  <c:v>-139.94999999999999</c:v>
                </c:pt>
                <c:pt idx="45">
                  <c:v>-137.44999999999999</c:v>
                </c:pt>
                <c:pt idx="46">
                  <c:v>-134.94999999999999</c:v>
                </c:pt>
                <c:pt idx="47">
                  <c:v>-132.44999999999999</c:v>
                </c:pt>
                <c:pt idx="48">
                  <c:v>-129.94999999999999</c:v>
                </c:pt>
                <c:pt idx="49">
                  <c:v>-127.45</c:v>
                </c:pt>
                <c:pt idx="50">
                  <c:v>-124.95</c:v>
                </c:pt>
                <c:pt idx="51">
                  <c:v>-122.45</c:v>
                </c:pt>
                <c:pt idx="52">
                  <c:v>-119.95</c:v>
                </c:pt>
                <c:pt idx="53">
                  <c:v>-117.45</c:v>
                </c:pt>
                <c:pt idx="54">
                  <c:v>-114.95</c:v>
                </c:pt>
                <c:pt idx="55">
                  <c:v>-112.45</c:v>
                </c:pt>
                <c:pt idx="56">
                  <c:v>-109.95</c:v>
                </c:pt>
                <c:pt idx="57">
                  <c:v>-107.45</c:v>
                </c:pt>
                <c:pt idx="58">
                  <c:v>-104.95</c:v>
                </c:pt>
                <c:pt idx="59">
                  <c:v>-102.45</c:v>
                </c:pt>
                <c:pt idx="60">
                  <c:v>-99.95</c:v>
                </c:pt>
                <c:pt idx="61">
                  <c:v>-97.45</c:v>
                </c:pt>
                <c:pt idx="62">
                  <c:v>-94.95</c:v>
                </c:pt>
                <c:pt idx="63">
                  <c:v>-92.45</c:v>
                </c:pt>
                <c:pt idx="64">
                  <c:v>-89.95</c:v>
                </c:pt>
                <c:pt idx="65">
                  <c:v>-87.45</c:v>
                </c:pt>
                <c:pt idx="66">
                  <c:v>-84.95</c:v>
                </c:pt>
                <c:pt idx="67">
                  <c:v>-82.45</c:v>
                </c:pt>
                <c:pt idx="68">
                  <c:v>-79.95</c:v>
                </c:pt>
                <c:pt idx="69">
                  <c:v>-77.45</c:v>
                </c:pt>
                <c:pt idx="70">
                  <c:v>-74.95</c:v>
                </c:pt>
                <c:pt idx="71">
                  <c:v>-72.45</c:v>
                </c:pt>
                <c:pt idx="72">
                  <c:v>-69.95</c:v>
                </c:pt>
                <c:pt idx="73">
                  <c:v>-67.45</c:v>
                </c:pt>
                <c:pt idx="74">
                  <c:v>-64.95</c:v>
                </c:pt>
                <c:pt idx="75">
                  <c:v>-62.45</c:v>
                </c:pt>
                <c:pt idx="76">
                  <c:v>-59.95</c:v>
                </c:pt>
                <c:pt idx="77">
                  <c:v>-57.45</c:v>
                </c:pt>
                <c:pt idx="78">
                  <c:v>-54.95</c:v>
                </c:pt>
                <c:pt idx="79">
                  <c:v>-52.45</c:v>
                </c:pt>
                <c:pt idx="80">
                  <c:v>-49.95</c:v>
                </c:pt>
                <c:pt idx="81">
                  <c:v>-47.45</c:v>
                </c:pt>
                <c:pt idx="82">
                  <c:v>-44.95</c:v>
                </c:pt>
                <c:pt idx="83">
                  <c:v>-42.45</c:v>
                </c:pt>
                <c:pt idx="84">
                  <c:v>-39.950000000000003</c:v>
                </c:pt>
                <c:pt idx="85">
                  <c:v>-37.450000000000003</c:v>
                </c:pt>
                <c:pt idx="86">
                  <c:v>-34.950000000000003</c:v>
                </c:pt>
                <c:pt idx="87">
                  <c:v>-32.450000000000003</c:v>
                </c:pt>
                <c:pt idx="88">
                  <c:v>-29.95</c:v>
                </c:pt>
                <c:pt idx="89">
                  <c:v>-27.45</c:v>
                </c:pt>
                <c:pt idx="90">
                  <c:v>-24.95</c:v>
                </c:pt>
                <c:pt idx="91">
                  <c:v>-22.45</c:v>
                </c:pt>
                <c:pt idx="92">
                  <c:v>-19.95</c:v>
                </c:pt>
                <c:pt idx="93">
                  <c:v>-17.45</c:v>
                </c:pt>
                <c:pt idx="94">
                  <c:v>-14.95</c:v>
                </c:pt>
                <c:pt idx="95">
                  <c:v>-12.45</c:v>
                </c:pt>
                <c:pt idx="96">
                  <c:v>-9.9499999999999993</c:v>
                </c:pt>
                <c:pt idx="97">
                  <c:v>-7.45</c:v>
                </c:pt>
                <c:pt idx="98">
                  <c:v>-4.95</c:v>
                </c:pt>
                <c:pt idx="99">
                  <c:v>-2.4500000000000002</c:v>
                </c:pt>
                <c:pt idx="100">
                  <c:v>0.05</c:v>
                </c:pt>
                <c:pt idx="101">
                  <c:v>2.5499999999999998</c:v>
                </c:pt>
                <c:pt idx="102">
                  <c:v>5.05</c:v>
                </c:pt>
                <c:pt idx="103">
                  <c:v>7.55</c:v>
                </c:pt>
                <c:pt idx="104">
                  <c:v>10.050000000000001</c:v>
                </c:pt>
                <c:pt idx="105">
                  <c:v>12.55</c:v>
                </c:pt>
                <c:pt idx="106">
                  <c:v>15.05</c:v>
                </c:pt>
                <c:pt idx="107">
                  <c:v>17.55</c:v>
                </c:pt>
                <c:pt idx="108">
                  <c:v>20.05</c:v>
                </c:pt>
                <c:pt idx="109">
                  <c:v>22.55</c:v>
                </c:pt>
                <c:pt idx="110">
                  <c:v>25.05</c:v>
                </c:pt>
                <c:pt idx="111">
                  <c:v>27.55</c:v>
                </c:pt>
                <c:pt idx="112">
                  <c:v>30.05</c:v>
                </c:pt>
                <c:pt idx="113">
                  <c:v>32.549999999999997</c:v>
                </c:pt>
                <c:pt idx="114">
                  <c:v>35.049999999999997</c:v>
                </c:pt>
                <c:pt idx="115">
                  <c:v>37.549999999999997</c:v>
                </c:pt>
                <c:pt idx="116">
                  <c:v>40.049999999999997</c:v>
                </c:pt>
                <c:pt idx="117">
                  <c:v>42.55</c:v>
                </c:pt>
                <c:pt idx="118">
                  <c:v>45.05</c:v>
                </c:pt>
                <c:pt idx="119">
                  <c:v>47.55</c:v>
                </c:pt>
                <c:pt idx="120">
                  <c:v>50.05</c:v>
                </c:pt>
                <c:pt idx="121">
                  <c:v>52.55</c:v>
                </c:pt>
                <c:pt idx="122">
                  <c:v>55.05</c:v>
                </c:pt>
                <c:pt idx="123">
                  <c:v>57.55</c:v>
                </c:pt>
                <c:pt idx="124">
                  <c:v>60.05</c:v>
                </c:pt>
                <c:pt idx="125">
                  <c:v>62.55</c:v>
                </c:pt>
                <c:pt idx="126">
                  <c:v>65.05</c:v>
                </c:pt>
                <c:pt idx="127">
                  <c:v>67.55</c:v>
                </c:pt>
                <c:pt idx="128">
                  <c:v>70.05</c:v>
                </c:pt>
                <c:pt idx="129">
                  <c:v>72.55</c:v>
                </c:pt>
                <c:pt idx="130">
                  <c:v>75.05</c:v>
                </c:pt>
                <c:pt idx="131">
                  <c:v>77.55</c:v>
                </c:pt>
                <c:pt idx="132">
                  <c:v>80.05</c:v>
                </c:pt>
                <c:pt idx="133">
                  <c:v>82.55</c:v>
                </c:pt>
                <c:pt idx="134">
                  <c:v>85.05</c:v>
                </c:pt>
                <c:pt idx="135">
                  <c:v>87.55</c:v>
                </c:pt>
                <c:pt idx="136">
                  <c:v>90.05</c:v>
                </c:pt>
                <c:pt idx="137">
                  <c:v>92.55</c:v>
                </c:pt>
                <c:pt idx="138">
                  <c:v>95.05</c:v>
                </c:pt>
                <c:pt idx="139">
                  <c:v>97.55</c:v>
                </c:pt>
                <c:pt idx="140">
                  <c:v>100.05</c:v>
                </c:pt>
                <c:pt idx="141">
                  <c:v>102.55</c:v>
                </c:pt>
                <c:pt idx="142">
                  <c:v>105.05</c:v>
                </c:pt>
                <c:pt idx="143">
                  <c:v>107.55</c:v>
                </c:pt>
                <c:pt idx="144">
                  <c:v>110.05</c:v>
                </c:pt>
                <c:pt idx="145">
                  <c:v>112.55</c:v>
                </c:pt>
                <c:pt idx="146">
                  <c:v>115.05</c:v>
                </c:pt>
                <c:pt idx="147">
                  <c:v>117.55</c:v>
                </c:pt>
                <c:pt idx="148">
                  <c:v>120.05</c:v>
                </c:pt>
                <c:pt idx="149">
                  <c:v>122.55</c:v>
                </c:pt>
                <c:pt idx="150">
                  <c:v>125.05</c:v>
                </c:pt>
                <c:pt idx="151">
                  <c:v>127.55</c:v>
                </c:pt>
                <c:pt idx="152">
                  <c:v>130.05000000000001</c:v>
                </c:pt>
                <c:pt idx="153">
                  <c:v>132.55000000000001</c:v>
                </c:pt>
                <c:pt idx="154">
                  <c:v>135.05000000000001</c:v>
                </c:pt>
                <c:pt idx="155">
                  <c:v>137.55000000000001</c:v>
                </c:pt>
                <c:pt idx="156">
                  <c:v>140.05000000000001</c:v>
                </c:pt>
                <c:pt idx="157">
                  <c:v>142.55000000000001</c:v>
                </c:pt>
                <c:pt idx="158">
                  <c:v>145.05000000000001</c:v>
                </c:pt>
                <c:pt idx="159">
                  <c:v>147.55000000000001</c:v>
                </c:pt>
                <c:pt idx="160">
                  <c:v>150.05000000000001</c:v>
                </c:pt>
                <c:pt idx="161">
                  <c:v>152.55000000000001</c:v>
                </c:pt>
                <c:pt idx="162">
                  <c:v>155.05000000000001</c:v>
                </c:pt>
                <c:pt idx="163">
                  <c:v>157.55000000000001</c:v>
                </c:pt>
                <c:pt idx="164">
                  <c:v>160.05000000000001</c:v>
                </c:pt>
                <c:pt idx="165">
                  <c:v>162.55000000000001</c:v>
                </c:pt>
                <c:pt idx="166">
                  <c:v>165.05</c:v>
                </c:pt>
                <c:pt idx="167">
                  <c:v>167.55</c:v>
                </c:pt>
                <c:pt idx="168">
                  <c:v>170.05</c:v>
                </c:pt>
                <c:pt idx="169">
                  <c:v>172.55</c:v>
                </c:pt>
                <c:pt idx="170">
                  <c:v>175.05</c:v>
                </c:pt>
                <c:pt idx="171">
                  <c:v>177.55</c:v>
                </c:pt>
                <c:pt idx="172">
                  <c:v>180.05</c:v>
                </c:pt>
                <c:pt idx="173">
                  <c:v>182.55</c:v>
                </c:pt>
                <c:pt idx="174">
                  <c:v>185.05</c:v>
                </c:pt>
                <c:pt idx="175">
                  <c:v>187.55</c:v>
                </c:pt>
                <c:pt idx="176">
                  <c:v>190.05</c:v>
                </c:pt>
                <c:pt idx="177">
                  <c:v>192.55</c:v>
                </c:pt>
                <c:pt idx="178">
                  <c:v>195.05</c:v>
                </c:pt>
                <c:pt idx="179">
                  <c:v>197.55</c:v>
                </c:pt>
                <c:pt idx="180">
                  <c:v>200.05</c:v>
                </c:pt>
                <c:pt idx="181">
                  <c:v>202.55</c:v>
                </c:pt>
                <c:pt idx="182">
                  <c:v>205.05</c:v>
                </c:pt>
                <c:pt idx="183">
                  <c:v>207.55</c:v>
                </c:pt>
                <c:pt idx="184">
                  <c:v>210.05</c:v>
                </c:pt>
                <c:pt idx="185">
                  <c:v>212.55</c:v>
                </c:pt>
                <c:pt idx="186">
                  <c:v>215.05</c:v>
                </c:pt>
                <c:pt idx="187">
                  <c:v>217.55</c:v>
                </c:pt>
                <c:pt idx="188">
                  <c:v>220.05</c:v>
                </c:pt>
                <c:pt idx="189">
                  <c:v>222.55</c:v>
                </c:pt>
                <c:pt idx="190">
                  <c:v>225.05</c:v>
                </c:pt>
                <c:pt idx="191">
                  <c:v>227.55</c:v>
                </c:pt>
                <c:pt idx="192">
                  <c:v>230.05</c:v>
                </c:pt>
                <c:pt idx="193">
                  <c:v>232.55</c:v>
                </c:pt>
                <c:pt idx="194">
                  <c:v>235.05</c:v>
                </c:pt>
                <c:pt idx="195">
                  <c:v>237.55</c:v>
                </c:pt>
                <c:pt idx="196">
                  <c:v>240.05</c:v>
                </c:pt>
                <c:pt idx="197">
                  <c:v>242.55</c:v>
                </c:pt>
                <c:pt idx="198">
                  <c:v>245.05</c:v>
                </c:pt>
                <c:pt idx="199">
                  <c:v>247.55</c:v>
                </c:pt>
                <c:pt idx="200">
                  <c:v>250.05</c:v>
                </c:pt>
                <c:pt idx="201">
                  <c:v>252.55</c:v>
                </c:pt>
                <c:pt idx="202">
                  <c:v>255</c:v>
                </c:pt>
                <c:pt idx="203">
                  <c:v>255</c:v>
                </c:pt>
                <c:pt idx="204">
                  <c:v>255</c:v>
                </c:pt>
                <c:pt idx="205">
                  <c:v>255</c:v>
                </c:pt>
                <c:pt idx="206">
                  <c:v>255</c:v>
                </c:pt>
                <c:pt idx="207">
                  <c:v>255</c:v>
                </c:pt>
                <c:pt idx="208">
                  <c:v>255</c:v>
                </c:pt>
                <c:pt idx="209">
                  <c:v>255</c:v>
                </c:pt>
                <c:pt idx="210">
                  <c:v>255</c:v>
                </c:pt>
                <c:pt idx="211">
                  <c:v>255</c:v>
                </c:pt>
                <c:pt idx="212">
                  <c:v>255</c:v>
                </c:pt>
                <c:pt idx="213">
                  <c:v>255</c:v>
                </c:pt>
                <c:pt idx="214">
                  <c:v>255</c:v>
                </c:pt>
              </c:numCache>
            </c:numRef>
          </c:xVal>
          <c:yVal>
            <c:numRef>
              <c:f>'motor_data_8screws_8bolts_e (2)'!$D$3:$D$217</c:f>
              <c:numCache>
                <c:formatCode>General</c:formatCode>
                <c:ptCount val="215"/>
                <c:pt idx="0">
                  <c:v>630.67999999999995</c:v>
                </c:pt>
                <c:pt idx="1">
                  <c:v>654.54999999999995</c:v>
                </c:pt>
                <c:pt idx="2">
                  <c:v>652.27</c:v>
                </c:pt>
                <c:pt idx="3">
                  <c:v>645.45000000000005</c:v>
                </c:pt>
                <c:pt idx="4">
                  <c:v>643.17999999999995</c:v>
                </c:pt>
                <c:pt idx="5">
                  <c:v>643.17999999999995</c:v>
                </c:pt>
                <c:pt idx="6">
                  <c:v>643.17999999999995</c:v>
                </c:pt>
                <c:pt idx="7">
                  <c:v>642.04999999999995</c:v>
                </c:pt>
                <c:pt idx="8">
                  <c:v>642.04999999999995</c:v>
                </c:pt>
                <c:pt idx="9">
                  <c:v>640.91</c:v>
                </c:pt>
                <c:pt idx="10">
                  <c:v>638.64</c:v>
                </c:pt>
                <c:pt idx="11">
                  <c:v>636.36</c:v>
                </c:pt>
                <c:pt idx="12">
                  <c:v>634.09</c:v>
                </c:pt>
                <c:pt idx="13">
                  <c:v>632.95000000000005</c:v>
                </c:pt>
                <c:pt idx="14">
                  <c:v>630.67999999999995</c:v>
                </c:pt>
                <c:pt idx="15">
                  <c:v>629.54999999999995</c:v>
                </c:pt>
                <c:pt idx="16">
                  <c:v>627.27</c:v>
                </c:pt>
                <c:pt idx="17">
                  <c:v>626.14</c:v>
                </c:pt>
                <c:pt idx="18">
                  <c:v>623.86</c:v>
                </c:pt>
                <c:pt idx="19">
                  <c:v>620.45000000000005</c:v>
                </c:pt>
                <c:pt idx="20">
                  <c:v>618.17999999999995</c:v>
                </c:pt>
                <c:pt idx="21">
                  <c:v>615.91</c:v>
                </c:pt>
                <c:pt idx="22">
                  <c:v>614.77</c:v>
                </c:pt>
                <c:pt idx="23">
                  <c:v>611.36</c:v>
                </c:pt>
                <c:pt idx="24">
                  <c:v>609.09</c:v>
                </c:pt>
                <c:pt idx="25">
                  <c:v>606.82000000000005</c:v>
                </c:pt>
                <c:pt idx="26">
                  <c:v>605.67999999999995</c:v>
                </c:pt>
                <c:pt idx="27">
                  <c:v>602.27</c:v>
                </c:pt>
                <c:pt idx="28">
                  <c:v>600</c:v>
                </c:pt>
                <c:pt idx="29">
                  <c:v>597.73</c:v>
                </c:pt>
                <c:pt idx="30">
                  <c:v>595.45000000000005</c:v>
                </c:pt>
                <c:pt idx="31">
                  <c:v>592.04999999999995</c:v>
                </c:pt>
                <c:pt idx="32">
                  <c:v>589.77</c:v>
                </c:pt>
                <c:pt idx="33">
                  <c:v>586.36</c:v>
                </c:pt>
                <c:pt idx="34">
                  <c:v>582.95000000000005</c:v>
                </c:pt>
                <c:pt idx="35">
                  <c:v>580.67999999999995</c:v>
                </c:pt>
                <c:pt idx="36">
                  <c:v>577.27</c:v>
                </c:pt>
                <c:pt idx="37">
                  <c:v>576.14</c:v>
                </c:pt>
                <c:pt idx="38">
                  <c:v>572.73</c:v>
                </c:pt>
                <c:pt idx="39">
                  <c:v>571.59</c:v>
                </c:pt>
                <c:pt idx="40">
                  <c:v>568.17999999999995</c:v>
                </c:pt>
                <c:pt idx="41">
                  <c:v>562.5</c:v>
                </c:pt>
                <c:pt idx="42">
                  <c:v>559.09</c:v>
                </c:pt>
                <c:pt idx="43">
                  <c:v>555.67999999999995</c:v>
                </c:pt>
                <c:pt idx="44">
                  <c:v>551.14</c:v>
                </c:pt>
                <c:pt idx="45">
                  <c:v>548.86</c:v>
                </c:pt>
                <c:pt idx="46">
                  <c:v>543.17999999999995</c:v>
                </c:pt>
                <c:pt idx="47">
                  <c:v>539.77</c:v>
                </c:pt>
                <c:pt idx="48">
                  <c:v>532.95000000000005</c:v>
                </c:pt>
                <c:pt idx="49">
                  <c:v>529.54999999999995</c:v>
                </c:pt>
                <c:pt idx="50">
                  <c:v>525</c:v>
                </c:pt>
                <c:pt idx="51">
                  <c:v>519.32000000000005</c:v>
                </c:pt>
                <c:pt idx="52">
                  <c:v>514.77</c:v>
                </c:pt>
                <c:pt idx="53">
                  <c:v>509.09</c:v>
                </c:pt>
                <c:pt idx="54">
                  <c:v>503.41</c:v>
                </c:pt>
                <c:pt idx="55">
                  <c:v>497.73</c:v>
                </c:pt>
                <c:pt idx="56">
                  <c:v>490.91</c:v>
                </c:pt>
                <c:pt idx="57">
                  <c:v>485.23</c:v>
                </c:pt>
                <c:pt idx="58">
                  <c:v>478.41</c:v>
                </c:pt>
                <c:pt idx="59">
                  <c:v>470.45</c:v>
                </c:pt>
                <c:pt idx="60">
                  <c:v>462.5</c:v>
                </c:pt>
                <c:pt idx="61">
                  <c:v>454.55</c:v>
                </c:pt>
                <c:pt idx="62">
                  <c:v>446.59</c:v>
                </c:pt>
                <c:pt idx="63">
                  <c:v>437.5</c:v>
                </c:pt>
                <c:pt idx="64">
                  <c:v>429.55</c:v>
                </c:pt>
                <c:pt idx="65">
                  <c:v>421.59</c:v>
                </c:pt>
                <c:pt idx="66">
                  <c:v>410.23</c:v>
                </c:pt>
                <c:pt idx="67">
                  <c:v>398.86</c:v>
                </c:pt>
                <c:pt idx="68">
                  <c:v>387.5</c:v>
                </c:pt>
                <c:pt idx="69">
                  <c:v>377.27</c:v>
                </c:pt>
                <c:pt idx="70">
                  <c:v>367.05</c:v>
                </c:pt>
                <c:pt idx="71">
                  <c:v>354.55</c:v>
                </c:pt>
                <c:pt idx="72">
                  <c:v>343.18</c:v>
                </c:pt>
                <c:pt idx="73">
                  <c:v>330.68</c:v>
                </c:pt>
                <c:pt idx="74">
                  <c:v>318.18</c:v>
                </c:pt>
                <c:pt idx="75">
                  <c:v>303.41000000000003</c:v>
                </c:pt>
                <c:pt idx="76">
                  <c:v>287.5</c:v>
                </c:pt>
                <c:pt idx="77">
                  <c:v>271.58999999999997</c:v>
                </c:pt>
                <c:pt idx="78">
                  <c:v>256.82</c:v>
                </c:pt>
                <c:pt idx="79">
                  <c:v>239.77</c:v>
                </c:pt>
                <c:pt idx="80">
                  <c:v>223.86</c:v>
                </c:pt>
                <c:pt idx="81">
                  <c:v>205.68</c:v>
                </c:pt>
                <c:pt idx="82">
                  <c:v>189.77</c:v>
                </c:pt>
                <c:pt idx="83">
                  <c:v>169.32</c:v>
                </c:pt>
                <c:pt idx="84">
                  <c:v>151.13999999999999</c:v>
                </c:pt>
                <c:pt idx="85">
                  <c:v>131.82</c:v>
                </c:pt>
                <c:pt idx="86">
                  <c:v>111.36</c:v>
                </c:pt>
                <c:pt idx="87">
                  <c:v>92.05</c:v>
                </c:pt>
                <c:pt idx="88">
                  <c:v>70.45</c:v>
                </c:pt>
                <c:pt idx="89">
                  <c:v>47.73</c:v>
                </c:pt>
                <c:pt idx="90">
                  <c:v>29.55</c:v>
                </c:pt>
                <c:pt idx="91">
                  <c:v>5.68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1.1399999999999999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1.1399999999999999</c:v>
                </c:pt>
                <c:pt idx="117">
                  <c:v>20.45</c:v>
                </c:pt>
                <c:pt idx="118">
                  <c:v>45.45</c:v>
                </c:pt>
                <c:pt idx="119">
                  <c:v>68.180000000000007</c:v>
                </c:pt>
                <c:pt idx="120">
                  <c:v>89.77</c:v>
                </c:pt>
                <c:pt idx="121">
                  <c:v>113.64</c:v>
                </c:pt>
                <c:pt idx="122">
                  <c:v>134.09</c:v>
                </c:pt>
                <c:pt idx="123">
                  <c:v>156.82</c:v>
                </c:pt>
                <c:pt idx="124">
                  <c:v>176.14</c:v>
                </c:pt>
                <c:pt idx="125">
                  <c:v>194.32</c:v>
                </c:pt>
                <c:pt idx="126">
                  <c:v>213.64</c:v>
                </c:pt>
                <c:pt idx="127">
                  <c:v>232.95</c:v>
                </c:pt>
                <c:pt idx="128">
                  <c:v>251.14</c:v>
                </c:pt>
                <c:pt idx="129">
                  <c:v>269.32</c:v>
                </c:pt>
                <c:pt idx="130">
                  <c:v>286.36</c:v>
                </c:pt>
                <c:pt idx="131">
                  <c:v>303.41000000000003</c:v>
                </c:pt>
                <c:pt idx="132">
                  <c:v>318.18</c:v>
                </c:pt>
                <c:pt idx="133">
                  <c:v>332.95</c:v>
                </c:pt>
                <c:pt idx="134">
                  <c:v>345.45</c:v>
                </c:pt>
                <c:pt idx="135">
                  <c:v>360.23</c:v>
                </c:pt>
                <c:pt idx="136">
                  <c:v>371.59</c:v>
                </c:pt>
                <c:pt idx="137">
                  <c:v>382.95</c:v>
                </c:pt>
                <c:pt idx="138">
                  <c:v>393.18</c:v>
                </c:pt>
                <c:pt idx="139">
                  <c:v>404.55</c:v>
                </c:pt>
                <c:pt idx="140">
                  <c:v>415.91</c:v>
                </c:pt>
                <c:pt idx="141">
                  <c:v>429.55</c:v>
                </c:pt>
                <c:pt idx="142">
                  <c:v>438.64</c:v>
                </c:pt>
                <c:pt idx="143">
                  <c:v>445.45</c:v>
                </c:pt>
                <c:pt idx="144">
                  <c:v>453.41</c:v>
                </c:pt>
                <c:pt idx="145">
                  <c:v>461.36</c:v>
                </c:pt>
                <c:pt idx="146">
                  <c:v>469.32</c:v>
                </c:pt>
                <c:pt idx="147">
                  <c:v>476.14</c:v>
                </c:pt>
                <c:pt idx="148">
                  <c:v>484.09</c:v>
                </c:pt>
                <c:pt idx="149">
                  <c:v>492.05</c:v>
                </c:pt>
                <c:pt idx="150">
                  <c:v>495.45</c:v>
                </c:pt>
                <c:pt idx="151">
                  <c:v>501.14</c:v>
                </c:pt>
                <c:pt idx="152">
                  <c:v>507.95</c:v>
                </c:pt>
                <c:pt idx="153">
                  <c:v>515.91</c:v>
                </c:pt>
                <c:pt idx="154">
                  <c:v>522.73</c:v>
                </c:pt>
                <c:pt idx="155">
                  <c:v>528.41</c:v>
                </c:pt>
                <c:pt idx="156">
                  <c:v>531.82000000000005</c:v>
                </c:pt>
                <c:pt idx="157">
                  <c:v>532.95000000000005</c:v>
                </c:pt>
                <c:pt idx="158">
                  <c:v>536.36</c:v>
                </c:pt>
                <c:pt idx="159">
                  <c:v>538.64</c:v>
                </c:pt>
                <c:pt idx="160">
                  <c:v>544.32000000000005</c:v>
                </c:pt>
                <c:pt idx="161">
                  <c:v>548.86</c:v>
                </c:pt>
                <c:pt idx="162">
                  <c:v>552.27</c:v>
                </c:pt>
                <c:pt idx="163">
                  <c:v>555.67999999999995</c:v>
                </c:pt>
                <c:pt idx="164">
                  <c:v>563.64</c:v>
                </c:pt>
                <c:pt idx="165">
                  <c:v>569.32000000000005</c:v>
                </c:pt>
                <c:pt idx="166">
                  <c:v>571.59</c:v>
                </c:pt>
                <c:pt idx="167">
                  <c:v>576.14</c:v>
                </c:pt>
                <c:pt idx="168">
                  <c:v>578.41</c:v>
                </c:pt>
                <c:pt idx="169">
                  <c:v>580.67999999999995</c:v>
                </c:pt>
                <c:pt idx="170">
                  <c:v>581.82000000000005</c:v>
                </c:pt>
                <c:pt idx="171">
                  <c:v>586.36</c:v>
                </c:pt>
                <c:pt idx="172">
                  <c:v>590.91</c:v>
                </c:pt>
                <c:pt idx="173">
                  <c:v>593.17999999999995</c:v>
                </c:pt>
                <c:pt idx="174">
                  <c:v>597.73</c:v>
                </c:pt>
                <c:pt idx="175">
                  <c:v>598.86</c:v>
                </c:pt>
                <c:pt idx="176">
                  <c:v>601.14</c:v>
                </c:pt>
                <c:pt idx="177">
                  <c:v>603.41</c:v>
                </c:pt>
                <c:pt idx="178">
                  <c:v>605.67999999999995</c:v>
                </c:pt>
                <c:pt idx="179">
                  <c:v>607.95000000000005</c:v>
                </c:pt>
                <c:pt idx="180">
                  <c:v>609.09</c:v>
                </c:pt>
                <c:pt idx="181">
                  <c:v>611.36</c:v>
                </c:pt>
                <c:pt idx="182">
                  <c:v>614.77</c:v>
                </c:pt>
                <c:pt idx="183">
                  <c:v>615.91</c:v>
                </c:pt>
                <c:pt idx="184">
                  <c:v>618.17999999999995</c:v>
                </c:pt>
                <c:pt idx="185">
                  <c:v>620.45000000000005</c:v>
                </c:pt>
                <c:pt idx="186">
                  <c:v>622.73</c:v>
                </c:pt>
                <c:pt idx="187">
                  <c:v>623.86</c:v>
                </c:pt>
                <c:pt idx="188">
                  <c:v>625</c:v>
                </c:pt>
                <c:pt idx="189">
                  <c:v>627.27</c:v>
                </c:pt>
                <c:pt idx="190">
                  <c:v>629.54999999999995</c:v>
                </c:pt>
                <c:pt idx="191">
                  <c:v>632.95000000000005</c:v>
                </c:pt>
                <c:pt idx="192">
                  <c:v>634.09</c:v>
                </c:pt>
                <c:pt idx="193">
                  <c:v>636.36</c:v>
                </c:pt>
                <c:pt idx="194">
                  <c:v>637.5</c:v>
                </c:pt>
                <c:pt idx="195">
                  <c:v>638.64</c:v>
                </c:pt>
                <c:pt idx="196">
                  <c:v>637.5</c:v>
                </c:pt>
                <c:pt idx="197">
                  <c:v>637.5</c:v>
                </c:pt>
                <c:pt idx="198">
                  <c:v>638.64</c:v>
                </c:pt>
                <c:pt idx="199">
                  <c:v>639.77</c:v>
                </c:pt>
                <c:pt idx="200">
                  <c:v>645.45000000000005</c:v>
                </c:pt>
                <c:pt idx="201">
                  <c:v>654.54999999999995</c:v>
                </c:pt>
                <c:pt idx="202">
                  <c:v>668.18</c:v>
                </c:pt>
                <c:pt idx="203">
                  <c:v>673.86</c:v>
                </c:pt>
                <c:pt idx="204">
                  <c:v>676.14</c:v>
                </c:pt>
                <c:pt idx="205">
                  <c:v>675</c:v>
                </c:pt>
                <c:pt idx="206">
                  <c:v>676.14</c:v>
                </c:pt>
                <c:pt idx="207">
                  <c:v>676.14</c:v>
                </c:pt>
                <c:pt idx="208">
                  <c:v>675</c:v>
                </c:pt>
                <c:pt idx="209">
                  <c:v>677.27</c:v>
                </c:pt>
                <c:pt idx="210">
                  <c:v>676.14</c:v>
                </c:pt>
                <c:pt idx="211">
                  <c:v>676.14</c:v>
                </c:pt>
                <c:pt idx="212">
                  <c:v>676.14</c:v>
                </c:pt>
                <c:pt idx="213">
                  <c:v>676.14</c:v>
                </c:pt>
                <c:pt idx="214">
                  <c:v>676.14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2-4A73-92AB-20865CF86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940111"/>
        <c:axId val="1080923791"/>
      </c:scatterChart>
      <c:valAx>
        <c:axId val="108094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80923791"/>
        <c:crosses val="autoZero"/>
        <c:crossBetween val="midCat"/>
      </c:valAx>
      <c:valAx>
        <c:axId val="108092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8094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RPM</a:t>
            </a:r>
            <a:r>
              <a:rPr lang="en-US" baseline="0"/>
              <a:t> as a function of the PWM (Wheel + 8 Bolts + 8 Nuts as Load)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'motor_data_8screws_8bolts_e (2)'!$B$3:$B$217</c:f>
              <c:numCache>
                <c:formatCode>General</c:formatCode>
                <c:ptCount val="215"/>
                <c:pt idx="0">
                  <c:v>-249.95</c:v>
                </c:pt>
                <c:pt idx="1">
                  <c:v>-247.45</c:v>
                </c:pt>
                <c:pt idx="2">
                  <c:v>-244.95</c:v>
                </c:pt>
                <c:pt idx="3">
                  <c:v>-242.45</c:v>
                </c:pt>
                <c:pt idx="4">
                  <c:v>-239.95</c:v>
                </c:pt>
                <c:pt idx="5">
                  <c:v>-237.45</c:v>
                </c:pt>
                <c:pt idx="6">
                  <c:v>-234.95</c:v>
                </c:pt>
                <c:pt idx="7">
                  <c:v>-232.45</c:v>
                </c:pt>
                <c:pt idx="8">
                  <c:v>-229.95</c:v>
                </c:pt>
                <c:pt idx="9">
                  <c:v>-227.45</c:v>
                </c:pt>
                <c:pt idx="10">
                  <c:v>-224.95</c:v>
                </c:pt>
                <c:pt idx="11">
                  <c:v>-222.45</c:v>
                </c:pt>
                <c:pt idx="12">
                  <c:v>-219.95</c:v>
                </c:pt>
                <c:pt idx="13">
                  <c:v>-217.45</c:v>
                </c:pt>
                <c:pt idx="14">
                  <c:v>-214.95</c:v>
                </c:pt>
                <c:pt idx="15">
                  <c:v>-212.45</c:v>
                </c:pt>
                <c:pt idx="16">
                  <c:v>-209.95</c:v>
                </c:pt>
                <c:pt idx="17">
                  <c:v>-207.45</c:v>
                </c:pt>
                <c:pt idx="18">
                  <c:v>-204.95</c:v>
                </c:pt>
                <c:pt idx="19">
                  <c:v>-202.45</c:v>
                </c:pt>
                <c:pt idx="20">
                  <c:v>-199.95</c:v>
                </c:pt>
                <c:pt idx="21">
                  <c:v>-197.45</c:v>
                </c:pt>
                <c:pt idx="22">
                  <c:v>-194.95</c:v>
                </c:pt>
                <c:pt idx="23">
                  <c:v>-192.45</c:v>
                </c:pt>
                <c:pt idx="24">
                  <c:v>-189.95</c:v>
                </c:pt>
                <c:pt idx="25">
                  <c:v>-187.45</c:v>
                </c:pt>
                <c:pt idx="26">
                  <c:v>-184.95</c:v>
                </c:pt>
                <c:pt idx="27">
                  <c:v>-182.45</c:v>
                </c:pt>
                <c:pt idx="28">
                  <c:v>-179.95</c:v>
                </c:pt>
                <c:pt idx="29">
                  <c:v>-177.45</c:v>
                </c:pt>
                <c:pt idx="30">
                  <c:v>-174.95</c:v>
                </c:pt>
                <c:pt idx="31">
                  <c:v>-172.45</c:v>
                </c:pt>
                <c:pt idx="32">
                  <c:v>-169.95</c:v>
                </c:pt>
                <c:pt idx="33">
                  <c:v>-167.45</c:v>
                </c:pt>
                <c:pt idx="34">
                  <c:v>-164.95</c:v>
                </c:pt>
                <c:pt idx="35">
                  <c:v>-162.44999999999999</c:v>
                </c:pt>
                <c:pt idx="36">
                  <c:v>-159.94999999999999</c:v>
                </c:pt>
                <c:pt idx="37">
                  <c:v>-157.44999999999999</c:v>
                </c:pt>
                <c:pt idx="38">
                  <c:v>-154.94999999999999</c:v>
                </c:pt>
                <c:pt idx="39">
                  <c:v>-152.44999999999999</c:v>
                </c:pt>
                <c:pt idx="40">
                  <c:v>-149.94999999999999</c:v>
                </c:pt>
                <c:pt idx="41">
                  <c:v>-147.44999999999999</c:v>
                </c:pt>
                <c:pt idx="42">
                  <c:v>-144.94999999999999</c:v>
                </c:pt>
                <c:pt idx="43">
                  <c:v>-142.44999999999999</c:v>
                </c:pt>
                <c:pt idx="44">
                  <c:v>-139.94999999999999</c:v>
                </c:pt>
                <c:pt idx="45">
                  <c:v>-137.44999999999999</c:v>
                </c:pt>
                <c:pt idx="46">
                  <c:v>-134.94999999999999</c:v>
                </c:pt>
                <c:pt idx="47">
                  <c:v>-132.44999999999999</c:v>
                </c:pt>
                <c:pt idx="48">
                  <c:v>-129.94999999999999</c:v>
                </c:pt>
                <c:pt idx="49">
                  <c:v>-127.45</c:v>
                </c:pt>
                <c:pt idx="50">
                  <c:v>-124.95</c:v>
                </c:pt>
                <c:pt idx="51">
                  <c:v>-122.45</c:v>
                </c:pt>
                <c:pt idx="52">
                  <c:v>-119.95</c:v>
                </c:pt>
                <c:pt idx="53">
                  <c:v>-117.45</c:v>
                </c:pt>
                <c:pt idx="54">
                  <c:v>-114.95</c:v>
                </c:pt>
                <c:pt idx="55">
                  <c:v>-112.45</c:v>
                </c:pt>
                <c:pt idx="56">
                  <c:v>-109.95</c:v>
                </c:pt>
                <c:pt idx="57">
                  <c:v>-107.45</c:v>
                </c:pt>
                <c:pt idx="58">
                  <c:v>-104.95</c:v>
                </c:pt>
                <c:pt idx="59">
                  <c:v>-102.45</c:v>
                </c:pt>
                <c:pt idx="60">
                  <c:v>-99.95</c:v>
                </c:pt>
                <c:pt idx="61">
                  <c:v>-97.45</c:v>
                </c:pt>
                <c:pt idx="62">
                  <c:v>-94.95</c:v>
                </c:pt>
                <c:pt idx="63">
                  <c:v>-92.45</c:v>
                </c:pt>
                <c:pt idx="64">
                  <c:v>-89.95</c:v>
                </c:pt>
                <c:pt idx="65">
                  <c:v>-87.45</c:v>
                </c:pt>
                <c:pt idx="66">
                  <c:v>-84.95</c:v>
                </c:pt>
                <c:pt idx="67">
                  <c:v>-82.45</c:v>
                </c:pt>
                <c:pt idx="68">
                  <c:v>-79.95</c:v>
                </c:pt>
                <c:pt idx="69">
                  <c:v>-77.45</c:v>
                </c:pt>
                <c:pt idx="70">
                  <c:v>-74.95</c:v>
                </c:pt>
                <c:pt idx="71">
                  <c:v>-72.45</c:v>
                </c:pt>
                <c:pt idx="72">
                  <c:v>-69.95</c:v>
                </c:pt>
                <c:pt idx="73">
                  <c:v>-67.45</c:v>
                </c:pt>
                <c:pt idx="74">
                  <c:v>-64.95</c:v>
                </c:pt>
                <c:pt idx="75">
                  <c:v>-62.45</c:v>
                </c:pt>
                <c:pt idx="76">
                  <c:v>-59.95</c:v>
                </c:pt>
                <c:pt idx="77">
                  <c:v>-57.45</c:v>
                </c:pt>
                <c:pt idx="78">
                  <c:v>-54.95</c:v>
                </c:pt>
                <c:pt idx="79">
                  <c:v>-52.45</c:v>
                </c:pt>
                <c:pt idx="80">
                  <c:v>-49.95</c:v>
                </c:pt>
                <c:pt idx="81">
                  <c:v>-47.45</c:v>
                </c:pt>
                <c:pt idx="82">
                  <c:v>-44.95</c:v>
                </c:pt>
                <c:pt idx="83">
                  <c:v>-42.45</c:v>
                </c:pt>
                <c:pt idx="84">
                  <c:v>-39.950000000000003</c:v>
                </c:pt>
                <c:pt idx="85">
                  <c:v>-37.450000000000003</c:v>
                </c:pt>
                <c:pt idx="86">
                  <c:v>-34.950000000000003</c:v>
                </c:pt>
                <c:pt idx="87">
                  <c:v>-32.450000000000003</c:v>
                </c:pt>
                <c:pt idx="88">
                  <c:v>-29.95</c:v>
                </c:pt>
                <c:pt idx="89">
                  <c:v>-27.45</c:v>
                </c:pt>
                <c:pt idx="90">
                  <c:v>-24.95</c:v>
                </c:pt>
                <c:pt idx="91">
                  <c:v>-22.45</c:v>
                </c:pt>
                <c:pt idx="92">
                  <c:v>-19.95</c:v>
                </c:pt>
                <c:pt idx="93">
                  <c:v>-17.45</c:v>
                </c:pt>
                <c:pt idx="94">
                  <c:v>-14.95</c:v>
                </c:pt>
                <c:pt idx="95">
                  <c:v>-12.45</c:v>
                </c:pt>
                <c:pt idx="96">
                  <c:v>-9.9499999999999993</c:v>
                </c:pt>
                <c:pt idx="97">
                  <c:v>-7.45</c:v>
                </c:pt>
                <c:pt idx="98">
                  <c:v>-4.95</c:v>
                </c:pt>
                <c:pt idx="99">
                  <c:v>-2.4500000000000002</c:v>
                </c:pt>
                <c:pt idx="100">
                  <c:v>0.05</c:v>
                </c:pt>
                <c:pt idx="101">
                  <c:v>2.5499999999999998</c:v>
                </c:pt>
                <c:pt idx="102">
                  <c:v>5.05</c:v>
                </c:pt>
                <c:pt idx="103">
                  <c:v>7.55</c:v>
                </c:pt>
                <c:pt idx="104">
                  <c:v>10.050000000000001</c:v>
                </c:pt>
                <c:pt idx="105">
                  <c:v>12.55</c:v>
                </c:pt>
                <c:pt idx="106">
                  <c:v>15.05</c:v>
                </c:pt>
                <c:pt idx="107">
                  <c:v>17.55</c:v>
                </c:pt>
                <c:pt idx="108">
                  <c:v>20.05</c:v>
                </c:pt>
                <c:pt idx="109">
                  <c:v>22.55</c:v>
                </c:pt>
                <c:pt idx="110">
                  <c:v>25.05</c:v>
                </c:pt>
                <c:pt idx="111">
                  <c:v>27.55</c:v>
                </c:pt>
                <c:pt idx="112">
                  <c:v>30.05</c:v>
                </c:pt>
                <c:pt idx="113">
                  <c:v>32.549999999999997</c:v>
                </c:pt>
                <c:pt idx="114">
                  <c:v>35.049999999999997</c:v>
                </c:pt>
                <c:pt idx="115">
                  <c:v>37.549999999999997</c:v>
                </c:pt>
                <c:pt idx="116">
                  <c:v>40.049999999999997</c:v>
                </c:pt>
                <c:pt idx="117">
                  <c:v>42.55</c:v>
                </c:pt>
                <c:pt idx="118">
                  <c:v>45.05</c:v>
                </c:pt>
                <c:pt idx="119">
                  <c:v>47.55</c:v>
                </c:pt>
                <c:pt idx="120">
                  <c:v>50.05</c:v>
                </c:pt>
                <c:pt idx="121">
                  <c:v>52.55</c:v>
                </c:pt>
                <c:pt idx="122">
                  <c:v>55.05</c:v>
                </c:pt>
                <c:pt idx="123">
                  <c:v>57.55</c:v>
                </c:pt>
                <c:pt idx="124">
                  <c:v>60.05</c:v>
                </c:pt>
                <c:pt idx="125">
                  <c:v>62.55</c:v>
                </c:pt>
                <c:pt idx="126">
                  <c:v>65.05</c:v>
                </c:pt>
                <c:pt idx="127">
                  <c:v>67.55</c:v>
                </c:pt>
                <c:pt idx="128">
                  <c:v>70.05</c:v>
                </c:pt>
                <c:pt idx="129">
                  <c:v>72.55</c:v>
                </c:pt>
                <c:pt idx="130">
                  <c:v>75.05</c:v>
                </c:pt>
                <c:pt idx="131">
                  <c:v>77.55</c:v>
                </c:pt>
                <c:pt idx="132">
                  <c:v>80.05</c:v>
                </c:pt>
                <c:pt idx="133">
                  <c:v>82.55</c:v>
                </c:pt>
                <c:pt idx="134">
                  <c:v>85.05</c:v>
                </c:pt>
                <c:pt idx="135">
                  <c:v>87.55</c:v>
                </c:pt>
                <c:pt idx="136">
                  <c:v>90.05</c:v>
                </c:pt>
                <c:pt idx="137">
                  <c:v>92.55</c:v>
                </c:pt>
                <c:pt idx="138">
                  <c:v>95.05</c:v>
                </c:pt>
                <c:pt idx="139">
                  <c:v>97.55</c:v>
                </c:pt>
                <c:pt idx="140">
                  <c:v>100.05</c:v>
                </c:pt>
                <c:pt idx="141">
                  <c:v>102.55</c:v>
                </c:pt>
                <c:pt idx="142">
                  <c:v>105.05</c:v>
                </c:pt>
                <c:pt idx="143">
                  <c:v>107.55</c:v>
                </c:pt>
                <c:pt idx="144">
                  <c:v>110.05</c:v>
                </c:pt>
                <c:pt idx="145">
                  <c:v>112.55</c:v>
                </c:pt>
                <c:pt idx="146">
                  <c:v>115.05</c:v>
                </c:pt>
                <c:pt idx="147">
                  <c:v>117.55</c:v>
                </c:pt>
                <c:pt idx="148">
                  <c:v>120.05</c:v>
                </c:pt>
                <c:pt idx="149">
                  <c:v>122.55</c:v>
                </c:pt>
                <c:pt idx="150">
                  <c:v>125.05</c:v>
                </c:pt>
                <c:pt idx="151">
                  <c:v>127.55</c:v>
                </c:pt>
                <c:pt idx="152">
                  <c:v>130.05000000000001</c:v>
                </c:pt>
                <c:pt idx="153">
                  <c:v>132.55000000000001</c:v>
                </c:pt>
                <c:pt idx="154">
                  <c:v>135.05000000000001</c:v>
                </c:pt>
                <c:pt idx="155">
                  <c:v>137.55000000000001</c:v>
                </c:pt>
                <c:pt idx="156">
                  <c:v>140.05000000000001</c:v>
                </c:pt>
                <c:pt idx="157">
                  <c:v>142.55000000000001</c:v>
                </c:pt>
                <c:pt idx="158">
                  <c:v>145.05000000000001</c:v>
                </c:pt>
                <c:pt idx="159">
                  <c:v>147.55000000000001</c:v>
                </c:pt>
                <c:pt idx="160">
                  <c:v>150.05000000000001</c:v>
                </c:pt>
                <c:pt idx="161">
                  <c:v>152.55000000000001</c:v>
                </c:pt>
                <c:pt idx="162">
                  <c:v>155.05000000000001</c:v>
                </c:pt>
                <c:pt idx="163">
                  <c:v>157.55000000000001</c:v>
                </c:pt>
                <c:pt idx="164">
                  <c:v>160.05000000000001</c:v>
                </c:pt>
                <c:pt idx="165">
                  <c:v>162.55000000000001</c:v>
                </c:pt>
                <c:pt idx="166">
                  <c:v>165.05</c:v>
                </c:pt>
                <c:pt idx="167">
                  <c:v>167.55</c:v>
                </c:pt>
                <c:pt idx="168">
                  <c:v>170.05</c:v>
                </c:pt>
                <c:pt idx="169">
                  <c:v>172.55</c:v>
                </c:pt>
                <c:pt idx="170">
                  <c:v>175.05</c:v>
                </c:pt>
                <c:pt idx="171">
                  <c:v>177.55</c:v>
                </c:pt>
                <c:pt idx="172">
                  <c:v>180.05</c:v>
                </c:pt>
                <c:pt idx="173">
                  <c:v>182.55</c:v>
                </c:pt>
                <c:pt idx="174">
                  <c:v>185.05</c:v>
                </c:pt>
                <c:pt idx="175">
                  <c:v>187.55</c:v>
                </c:pt>
                <c:pt idx="176">
                  <c:v>190.05</c:v>
                </c:pt>
                <c:pt idx="177">
                  <c:v>192.55</c:v>
                </c:pt>
                <c:pt idx="178">
                  <c:v>195.05</c:v>
                </c:pt>
                <c:pt idx="179">
                  <c:v>197.55</c:v>
                </c:pt>
                <c:pt idx="180">
                  <c:v>200.05</c:v>
                </c:pt>
                <c:pt idx="181">
                  <c:v>202.55</c:v>
                </c:pt>
                <c:pt idx="182">
                  <c:v>205.05</c:v>
                </c:pt>
                <c:pt idx="183">
                  <c:v>207.55</c:v>
                </c:pt>
                <c:pt idx="184">
                  <c:v>210.05</c:v>
                </c:pt>
                <c:pt idx="185">
                  <c:v>212.55</c:v>
                </c:pt>
                <c:pt idx="186">
                  <c:v>215.05</c:v>
                </c:pt>
                <c:pt idx="187">
                  <c:v>217.55</c:v>
                </c:pt>
                <c:pt idx="188">
                  <c:v>220.05</c:v>
                </c:pt>
                <c:pt idx="189">
                  <c:v>222.55</c:v>
                </c:pt>
                <c:pt idx="190">
                  <c:v>225.05</c:v>
                </c:pt>
                <c:pt idx="191">
                  <c:v>227.55</c:v>
                </c:pt>
                <c:pt idx="192">
                  <c:v>230.05</c:v>
                </c:pt>
                <c:pt idx="193">
                  <c:v>232.55</c:v>
                </c:pt>
                <c:pt idx="194">
                  <c:v>235.05</c:v>
                </c:pt>
                <c:pt idx="195">
                  <c:v>237.55</c:v>
                </c:pt>
                <c:pt idx="196">
                  <c:v>240.05</c:v>
                </c:pt>
                <c:pt idx="197">
                  <c:v>242.55</c:v>
                </c:pt>
                <c:pt idx="198">
                  <c:v>245.05</c:v>
                </c:pt>
                <c:pt idx="199">
                  <c:v>247.55</c:v>
                </c:pt>
                <c:pt idx="200">
                  <c:v>250.05</c:v>
                </c:pt>
                <c:pt idx="201">
                  <c:v>252.55</c:v>
                </c:pt>
                <c:pt idx="202">
                  <c:v>255</c:v>
                </c:pt>
                <c:pt idx="203">
                  <c:v>255</c:v>
                </c:pt>
                <c:pt idx="204">
                  <c:v>255</c:v>
                </c:pt>
                <c:pt idx="205">
                  <c:v>255</c:v>
                </c:pt>
                <c:pt idx="206">
                  <c:v>255</c:v>
                </c:pt>
                <c:pt idx="207">
                  <c:v>255</c:v>
                </c:pt>
                <c:pt idx="208">
                  <c:v>255</c:v>
                </c:pt>
                <c:pt idx="209">
                  <c:v>255</c:v>
                </c:pt>
                <c:pt idx="210">
                  <c:v>255</c:v>
                </c:pt>
                <c:pt idx="211">
                  <c:v>255</c:v>
                </c:pt>
                <c:pt idx="212">
                  <c:v>255</c:v>
                </c:pt>
                <c:pt idx="213">
                  <c:v>255</c:v>
                </c:pt>
                <c:pt idx="214">
                  <c:v>255</c:v>
                </c:pt>
              </c:numCache>
            </c:numRef>
          </c:xVal>
          <c:yVal>
            <c:numRef>
              <c:f>'motor_data_8screws_8bolts_e (2)'!$H$3:$H$217</c:f>
              <c:numCache>
                <c:formatCode>General</c:formatCode>
                <c:ptCount val="215"/>
                <c:pt idx="0">
                  <c:v>-630.67999999999995</c:v>
                </c:pt>
                <c:pt idx="1">
                  <c:v>-654.54999999999995</c:v>
                </c:pt>
                <c:pt idx="2">
                  <c:v>-652.27</c:v>
                </c:pt>
                <c:pt idx="3">
                  <c:v>-645.45000000000005</c:v>
                </c:pt>
                <c:pt idx="4">
                  <c:v>-643.17999999999995</c:v>
                </c:pt>
                <c:pt idx="5">
                  <c:v>-643.17999999999995</c:v>
                </c:pt>
                <c:pt idx="6">
                  <c:v>-643.17999999999995</c:v>
                </c:pt>
                <c:pt idx="7">
                  <c:v>-642.04999999999995</c:v>
                </c:pt>
                <c:pt idx="8">
                  <c:v>-642.04999999999995</c:v>
                </c:pt>
                <c:pt idx="9">
                  <c:v>-640.91</c:v>
                </c:pt>
                <c:pt idx="10">
                  <c:v>-638.64</c:v>
                </c:pt>
                <c:pt idx="11">
                  <c:v>-636.36</c:v>
                </c:pt>
                <c:pt idx="12">
                  <c:v>-634.09</c:v>
                </c:pt>
                <c:pt idx="13">
                  <c:v>-632.95000000000005</c:v>
                </c:pt>
                <c:pt idx="14">
                  <c:v>-630.67999999999995</c:v>
                </c:pt>
                <c:pt idx="15">
                  <c:v>-629.54999999999995</c:v>
                </c:pt>
                <c:pt idx="16">
                  <c:v>-627.27</c:v>
                </c:pt>
                <c:pt idx="17">
                  <c:v>-626.14</c:v>
                </c:pt>
                <c:pt idx="18">
                  <c:v>-623.86</c:v>
                </c:pt>
                <c:pt idx="19">
                  <c:v>-620.45000000000005</c:v>
                </c:pt>
                <c:pt idx="20">
                  <c:v>-618.17999999999995</c:v>
                </c:pt>
                <c:pt idx="21">
                  <c:v>-615.91</c:v>
                </c:pt>
                <c:pt idx="22">
                  <c:v>-614.77</c:v>
                </c:pt>
                <c:pt idx="23">
                  <c:v>-611.36</c:v>
                </c:pt>
                <c:pt idx="24">
                  <c:v>-609.09</c:v>
                </c:pt>
                <c:pt idx="25">
                  <c:v>-606.82000000000005</c:v>
                </c:pt>
                <c:pt idx="26">
                  <c:v>-605.67999999999995</c:v>
                </c:pt>
                <c:pt idx="27">
                  <c:v>-602.27</c:v>
                </c:pt>
                <c:pt idx="28">
                  <c:v>-600</c:v>
                </c:pt>
                <c:pt idx="29">
                  <c:v>-597.73</c:v>
                </c:pt>
                <c:pt idx="30">
                  <c:v>-595.45000000000005</c:v>
                </c:pt>
                <c:pt idx="31">
                  <c:v>-592.04999999999995</c:v>
                </c:pt>
                <c:pt idx="32">
                  <c:v>-589.77</c:v>
                </c:pt>
                <c:pt idx="33">
                  <c:v>-586.36</c:v>
                </c:pt>
                <c:pt idx="34">
                  <c:v>-582.95000000000005</c:v>
                </c:pt>
                <c:pt idx="35">
                  <c:v>-580.67999999999995</c:v>
                </c:pt>
                <c:pt idx="36">
                  <c:v>-577.27</c:v>
                </c:pt>
                <c:pt idx="37">
                  <c:v>-576.14</c:v>
                </c:pt>
                <c:pt idx="38">
                  <c:v>-572.73</c:v>
                </c:pt>
                <c:pt idx="39">
                  <c:v>-571.59</c:v>
                </c:pt>
                <c:pt idx="40">
                  <c:v>-568.17999999999995</c:v>
                </c:pt>
                <c:pt idx="41">
                  <c:v>-562.5</c:v>
                </c:pt>
                <c:pt idx="42">
                  <c:v>-559.09</c:v>
                </c:pt>
                <c:pt idx="43">
                  <c:v>-555.67999999999995</c:v>
                </c:pt>
                <c:pt idx="44">
                  <c:v>-551.14</c:v>
                </c:pt>
                <c:pt idx="45">
                  <c:v>-548.86</c:v>
                </c:pt>
                <c:pt idx="46">
                  <c:v>-543.17999999999995</c:v>
                </c:pt>
                <c:pt idx="47">
                  <c:v>-539.77</c:v>
                </c:pt>
                <c:pt idx="48">
                  <c:v>-532.95000000000005</c:v>
                </c:pt>
                <c:pt idx="49">
                  <c:v>-529.54999999999995</c:v>
                </c:pt>
                <c:pt idx="50">
                  <c:v>-525</c:v>
                </c:pt>
                <c:pt idx="51">
                  <c:v>-519.32000000000005</c:v>
                </c:pt>
                <c:pt idx="52">
                  <c:v>-514.77</c:v>
                </c:pt>
                <c:pt idx="53">
                  <c:v>-509.09</c:v>
                </c:pt>
                <c:pt idx="54">
                  <c:v>-503.41</c:v>
                </c:pt>
                <c:pt idx="55">
                  <c:v>-497.73</c:v>
                </c:pt>
                <c:pt idx="56">
                  <c:v>-490.91</c:v>
                </c:pt>
                <c:pt idx="57">
                  <c:v>-485.23</c:v>
                </c:pt>
                <c:pt idx="58">
                  <c:v>-478.41</c:v>
                </c:pt>
                <c:pt idx="59">
                  <c:v>-470.45</c:v>
                </c:pt>
                <c:pt idx="60">
                  <c:v>-462.5</c:v>
                </c:pt>
                <c:pt idx="61">
                  <c:v>-454.55</c:v>
                </c:pt>
                <c:pt idx="62">
                  <c:v>-446.59</c:v>
                </c:pt>
                <c:pt idx="63">
                  <c:v>-437.5</c:v>
                </c:pt>
                <c:pt idx="64">
                  <c:v>-429.55</c:v>
                </c:pt>
                <c:pt idx="65">
                  <c:v>-421.59</c:v>
                </c:pt>
                <c:pt idx="66">
                  <c:v>-410.23</c:v>
                </c:pt>
                <c:pt idx="67">
                  <c:v>-398.86</c:v>
                </c:pt>
                <c:pt idx="68">
                  <c:v>-387.5</c:v>
                </c:pt>
                <c:pt idx="69">
                  <c:v>-377.27</c:v>
                </c:pt>
                <c:pt idx="70">
                  <c:v>-367.05</c:v>
                </c:pt>
                <c:pt idx="71">
                  <c:v>-354.55</c:v>
                </c:pt>
                <c:pt idx="72">
                  <c:v>-343.18</c:v>
                </c:pt>
                <c:pt idx="73">
                  <c:v>-330.68</c:v>
                </c:pt>
                <c:pt idx="74">
                  <c:v>-318.18</c:v>
                </c:pt>
                <c:pt idx="75">
                  <c:v>-303.41000000000003</c:v>
                </c:pt>
                <c:pt idx="76">
                  <c:v>-287.5</c:v>
                </c:pt>
                <c:pt idx="77">
                  <c:v>-271.58999999999997</c:v>
                </c:pt>
                <c:pt idx="78">
                  <c:v>-256.82</c:v>
                </c:pt>
                <c:pt idx="79">
                  <c:v>-239.77</c:v>
                </c:pt>
                <c:pt idx="80">
                  <c:v>-223.86</c:v>
                </c:pt>
                <c:pt idx="81">
                  <c:v>-205.68</c:v>
                </c:pt>
                <c:pt idx="82">
                  <c:v>-189.77</c:v>
                </c:pt>
                <c:pt idx="83">
                  <c:v>-169.32</c:v>
                </c:pt>
                <c:pt idx="84">
                  <c:v>-151.13999999999999</c:v>
                </c:pt>
                <c:pt idx="85">
                  <c:v>-131.82</c:v>
                </c:pt>
                <c:pt idx="86">
                  <c:v>-111.36</c:v>
                </c:pt>
                <c:pt idx="87">
                  <c:v>-92.05</c:v>
                </c:pt>
                <c:pt idx="88">
                  <c:v>-70.45</c:v>
                </c:pt>
                <c:pt idx="89">
                  <c:v>-47.73</c:v>
                </c:pt>
                <c:pt idx="90">
                  <c:v>-29.55</c:v>
                </c:pt>
                <c:pt idx="91">
                  <c:v>-5.68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1.1399999999999999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1.1399999999999999</c:v>
                </c:pt>
                <c:pt idx="117">
                  <c:v>20.45</c:v>
                </c:pt>
                <c:pt idx="118">
                  <c:v>45.45</c:v>
                </c:pt>
                <c:pt idx="119">
                  <c:v>68.180000000000007</c:v>
                </c:pt>
                <c:pt idx="120">
                  <c:v>89.77</c:v>
                </c:pt>
                <c:pt idx="121">
                  <c:v>113.64</c:v>
                </c:pt>
                <c:pt idx="122">
                  <c:v>134.09</c:v>
                </c:pt>
                <c:pt idx="123">
                  <c:v>156.82</c:v>
                </c:pt>
                <c:pt idx="124">
                  <c:v>176.14</c:v>
                </c:pt>
                <c:pt idx="125">
                  <c:v>194.32</c:v>
                </c:pt>
                <c:pt idx="126">
                  <c:v>213.64</c:v>
                </c:pt>
                <c:pt idx="127">
                  <c:v>232.95</c:v>
                </c:pt>
                <c:pt idx="128">
                  <c:v>251.14</c:v>
                </c:pt>
                <c:pt idx="129">
                  <c:v>269.32</c:v>
                </c:pt>
                <c:pt idx="130">
                  <c:v>286.36</c:v>
                </c:pt>
                <c:pt idx="131">
                  <c:v>303.41000000000003</c:v>
                </c:pt>
                <c:pt idx="132">
                  <c:v>318.18</c:v>
                </c:pt>
                <c:pt idx="133">
                  <c:v>332.95</c:v>
                </c:pt>
                <c:pt idx="134">
                  <c:v>345.45</c:v>
                </c:pt>
                <c:pt idx="135">
                  <c:v>360.23</c:v>
                </c:pt>
                <c:pt idx="136">
                  <c:v>371.59</c:v>
                </c:pt>
                <c:pt idx="137">
                  <c:v>382.95</c:v>
                </c:pt>
                <c:pt idx="138">
                  <c:v>393.18</c:v>
                </c:pt>
                <c:pt idx="139">
                  <c:v>404.55</c:v>
                </c:pt>
                <c:pt idx="140">
                  <c:v>415.91</c:v>
                </c:pt>
                <c:pt idx="141">
                  <c:v>429.55</c:v>
                </c:pt>
                <c:pt idx="142">
                  <c:v>438.64</c:v>
                </c:pt>
                <c:pt idx="143">
                  <c:v>445.45</c:v>
                </c:pt>
                <c:pt idx="144">
                  <c:v>453.41</c:v>
                </c:pt>
                <c:pt idx="145">
                  <c:v>461.36</c:v>
                </c:pt>
                <c:pt idx="146">
                  <c:v>469.32</c:v>
                </c:pt>
                <c:pt idx="147">
                  <c:v>476.14</c:v>
                </c:pt>
                <c:pt idx="148">
                  <c:v>484.09</c:v>
                </c:pt>
                <c:pt idx="149">
                  <c:v>492.05</c:v>
                </c:pt>
                <c:pt idx="150">
                  <c:v>495.45</c:v>
                </c:pt>
                <c:pt idx="151">
                  <c:v>501.14</c:v>
                </c:pt>
                <c:pt idx="152">
                  <c:v>507.95</c:v>
                </c:pt>
                <c:pt idx="153">
                  <c:v>515.91</c:v>
                </c:pt>
                <c:pt idx="154">
                  <c:v>522.73</c:v>
                </c:pt>
                <c:pt idx="155">
                  <c:v>528.41</c:v>
                </c:pt>
                <c:pt idx="156">
                  <c:v>531.82000000000005</c:v>
                </c:pt>
                <c:pt idx="157">
                  <c:v>532.95000000000005</c:v>
                </c:pt>
                <c:pt idx="158">
                  <c:v>536.36</c:v>
                </c:pt>
                <c:pt idx="159">
                  <c:v>538.64</c:v>
                </c:pt>
                <c:pt idx="160">
                  <c:v>544.32000000000005</c:v>
                </c:pt>
                <c:pt idx="161">
                  <c:v>548.86</c:v>
                </c:pt>
                <c:pt idx="162">
                  <c:v>552.27</c:v>
                </c:pt>
                <c:pt idx="163">
                  <c:v>555.67999999999995</c:v>
                </c:pt>
                <c:pt idx="164">
                  <c:v>563.64</c:v>
                </c:pt>
                <c:pt idx="165">
                  <c:v>569.32000000000005</c:v>
                </c:pt>
                <c:pt idx="166">
                  <c:v>571.59</c:v>
                </c:pt>
                <c:pt idx="167">
                  <c:v>576.14</c:v>
                </c:pt>
                <c:pt idx="168">
                  <c:v>578.41</c:v>
                </c:pt>
                <c:pt idx="169">
                  <c:v>580.67999999999995</c:v>
                </c:pt>
                <c:pt idx="170">
                  <c:v>581.82000000000005</c:v>
                </c:pt>
                <c:pt idx="171">
                  <c:v>586.36</c:v>
                </c:pt>
                <c:pt idx="172">
                  <c:v>590.91</c:v>
                </c:pt>
                <c:pt idx="173">
                  <c:v>593.17999999999995</c:v>
                </c:pt>
                <c:pt idx="174">
                  <c:v>597.73</c:v>
                </c:pt>
                <c:pt idx="175">
                  <c:v>598.86</c:v>
                </c:pt>
                <c:pt idx="176">
                  <c:v>601.14</c:v>
                </c:pt>
                <c:pt idx="177">
                  <c:v>603.41</c:v>
                </c:pt>
                <c:pt idx="178">
                  <c:v>605.67999999999995</c:v>
                </c:pt>
                <c:pt idx="179">
                  <c:v>607.95000000000005</c:v>
                </c:pt>
                <c:pt idx="180">
                  <c:v>609.09</c:v>
                </c:pt>
                <c:pt idx="181">
                  <c:v>611.36</c:v>
                </c:pt>
                <c:pt idx="182">
                  <c:v>614.77</c:v>
                </c:pt>
                <c:pt idx="183">
                  <c:v>615.91</c:v>
                </c:pt>
                <c:pt idx="184">
                  <c:v>618.17999999999995</c:v>
                </c:pt>
                <c:pt idx="185">
                  <c:v>620.45000000000005</c:v>
                </c:pt>
                <c:pt idx="186">
                  <c:v>622.73</c:v>
                </c:pt>
                <c:pt idx="187">
                  <c:v>623.86</c:v>
                </c:pt>
                <c:pt idx="188">
                  <c:v>625</c:v>
                </c:pt>
                <c:pt idx="189">
                  <c:v>627.27</c:v>
                </c:pt>
                <c:pt idx="190">
                  <c:v>629.54999999999995</c:v>
                </c:pt>
                <c:pt idx="191">
                  <c:v>632.95000000000005</c:v>
                </c:pt>
                <c:pt idx="192">
                  <c:v>634.09</c:v>
                </c:pt>
                <c:pt idx="193">
                  <c:v>636.36</c:v>
                </c:pt>
                <c:pt idx="194">
                  <c:v>637.5</c:v>
                </c:pt>
                <c:pt idx="195">
                  <c:v>638.64</c:v>
                </c:pt>
                <c:pt idx="196">
                  <c:v>637.5</c:v>
                </c:pt>
                <c:pt idx="197">
                  <c:v>637.5</c:v>
                </c:pt>
                <c:pt idx="198">
                  <c:v>638.64</c:v>
                </c:pt>
                <c:pt idx="199">
                  <c:v>639.77</c:v>
                </c:pt>
                <c:pt idx="200">
                  <c:v>645.45000000000005</c:v>
                </c:pt>
                <c:pt idx="201">
                  <c:v>654.54999999999995</c:v>
                </c:pt>
                <c:pt idx="202">
                  <c:v>668.18</c:v>
                </c:pt>
                <c:pt idx="203">
                  <c:v>673.86</c:v>
                </c:pt>
                <c:pt idx="204">
                  <c:v>676.14</c:v>
                </c:pt>
                <c:pt idx="205">
                  <c:v>675</c:v>
                </c:pt>
                <c:pt idx="206">
                  <c:v>676.14</c:v>
                </c:pt>
                <c:pt idx="207">
                  <c:v>676.14</c:v>
                </c:pt>
                <c:pt idx="208">
                  <c:v>675</c:v>
                </c:pt>
                <c:pt idx="209">
                  <c:v>677.27</c:v>
                </c:pt>
                <c:pt idx="210">
                  <c:v>676.14</c:v>
                </c:pt>
                <c:pt idx="211">
                  <c:v>676.14</c:v>
                </c:pt>
                <c:pt idx="212">
                  <c:v>676.14</c:v>
                </c:pt>
                <c:pt idx="213">
                  <c:v>676.14</c:v>
                </c:pt>
                <c:pt idx="214">
                  <c:v>676.14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5-461F-9DAC-957D3BC6E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940111"/>
        <c:axId val="1080923791"/>
      </c:scatterChart>
      <c:valAx>
        <c:axId val="108094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80923791"/>
        <c:crosses val="autoZero"/>
        <c:crossBetween val="midCat"/>
      </c:valAx>
      <c:valAx>
        <c:axId val="108092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8094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14287</xdr:rowOff>
    </xdr:from>
    <xdr:to>
      <xdr:col>17</xdr:col>
      <xdr:colOff>304800</xdr:colOff>
      <xdr:row>16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4422A4-7839-2066-6DE2-83BFB2259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600075</xdr:colOff>
      <xdr:row>17</xdr:row>
      <xdr:rowOff>104775</xdr:rowOff>
    </xdr:from>
    <xdr:to>
      <xdr:col>17</xdr:col>
      <xdr:colOff>295275</xdr:colOff>
      <xdr:row>31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7097A0-BB49-4345-BFE8-1D6C06CEA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6BCCC3B-8830-4199-994D-DDF3C4B8BCE0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Time (s)" tableColumnId="1"/>
      <queryTableField id="2" name="Output" tableColumnId="2"/>
      <queryTableField id="3" name="Frequency (Hz)" tableColumnId="3"/>
      <queryTableField id="4" name="RPM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EB9BB-F556-4756-867F-ABC27AB669CE}" name="motor_data_8screws_8bolts_evenly_distributed" displayName="motor_data_8screws_8bolts_evenly_distributed" ref="A1:E217" tableType="queryTable" totalsRowShown="0">
  <autoFilter ref="A1:E217" xr:uid="{02CEB9BB-F556-4756-867F-ABC27AB669CE}"/>
  <tableColumns count="5">
    <tableColumn id="1" xr3:uid="{14D6B0FF-A33B-41FA-A4DC-D95D0BA41851}" uniqueName="1" name="Time (s)" queryTableFieldId="1"/>
    <tableColumn id="2" xr3:uid="{9D156903-1C7B-4166-9313-EB7CB268E4C0}" uniqueName="2" name="Output" queryTableFieldId="2" dataDxfId="3"/>
    <tableColumn id="3" xr3:uid="{BE394BA1-32BC-4DA7-A9C1-FCE3032B5857}" uniqueName="3" name="Frequency (Hz)" queryTableFieldId="3" dataDxfId="2"/>
    <tableColumn id="4" xr3:uid="{A393D008-6D29-4383-97B8-14412C483592}" uniqueName="4" name="RPM" queryTableFieldId="4" dataDxfId="1"/>
    <tableColumn id="5" xr3:uid="{01A97811-A86E-42B2-89F9-A95E437F9CE3}" uniqueName="5" name="time normalized" queryTableFieldId="5" dataDxfId="0">
      <calculatedColumnFormula>motor_data_8screws_8bolts_evenly_distributed[[#This Row],[Time (s)]]-1764249896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E869-1CD5-4C1D-A247-65085D5B52F3}">
  <dimension ref="A1:H217"/>
  <sheetViews>
    <sheetView tabSelected="1" workbookViewId="0">
      <selection activeCell="T8" sqref="T8"/>
    </sheetView>
  </sheetViews>
  <sheetFormatPr defaultRowHeight="15" x14ac:dyDescent="0.25"/>
  <cols>
    <col min="1" max="1" width="11" bestFit="1" customWidth="1"/>
    <col min="2" max="2" width="9.5703125" bestFit="1" customWidth="1"/>
    <col min="3" max="3" width="17" bestFit="1" customWidth="1"/>
    <col min="4" max="4" width="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157</v>
      </c>
    </row>
    <row r="2" spans="1:8" x14ac:dyDescent="0.25">
      <c r="A2">
        <v>1764249896</v>
      </c>
      <c r="B2">
        <v>-252.45</v>
      </c>
      <c r="C2" t="s">
        <v>5</v>
      </c>
      <c r="D2">
        <v>342.05</v>
      </c>
      <c r="E2" s="1">
        <f>motor_data_8screws_8bolts_evenly_distributed[[#This Row],[Time (s)]]-1764249896</f>
        <v>0</v>
      </c>
      <c r="F2" t="s">
        <v>156</v>
      </c>
    </row>
    <row r="3" spans="1:8" x14ac:dyDescent="0.25">
      <c r="A3">
        <v>1764249897</v>
      </c>
      <c r="B3">
        <v>-249.95</v>
      </c>
      <c r="C3" t="s">
        <v>6</v>
      </c>
      <c r="D3">
        <v>630.67999999999995</v>
      </c>
      <c r="E3" s="1">
        <f>motor_data_8screws_8bolts_evenly_distributed[[#This Row],[Time (s)]]-1764249896</f>
        <v>1</v>
      </c>
      <c r="H3">
        <f>motor_data_8screws_8bolts_evenly_distributed[[#This Row],[RPM]]*(-1)</f>
        <v>-630.67999999999995</v>
      </c>
    </row>
    <row r="4" spans="1:8" x14ac:dyDescent="0.25">
      <c r="A4">
        <v>1764249897</v>
      </c>
      <c r="B4">
        <v>-247.45</v>
      </c>
      <c r="C4" t="s">
        <v>7</v>
      </c>
      <c r="D4">
        <v>654.54999999999995</v>
      </c>
      <c r="E4" s="1">
        <f>motor_data_8screws_8bolts_evenly_distributed[[#This Row],[Time (s)]]-1764249896</f>
        <v>1</v>
      </c>
      <c r="H4">
        <f>motor_data_8screws_8bolts_evenly_distributed[[#This Row],[RPM]]*(-1)</f>
        <v>-654.54999999999995</v>
      </c>
    </row>
    <row r="5" spans="1:8" x14ac:dyDescent="0.25">
      <c r="A5">
        <v>1764249898</v>
      </c>
      <c r="B5">
        <v>-244.95</v>
      </c>
      <c r="C5" t="s">
        <v>8</v>
      </c>
      <c r="D5">
        <v>652.27</v>
      </c>
      <c r="E5" s="1">
        <f>motor_data_8screws_8bolts_evenly_distributed[[#This Row],[Time (s)]]-1764249896</f>
        <v>2</v>
      </c>
      <c r="H5">
        <f>motor_data_8screws_8bolts_evenly_distributed[[#This Row],[RPM]]*(-1)</f>
        <v>-652.27</v>
      </c>
    </row>
    <row r="6" spans="1:8" x14ac:dyDescent="0.25">
      <c r="A6">
        <v>1764249898</v>
      </c>
      <c r="B6">
        <v>-242.45</v>
      </c>
      <c r="C6" t="s">
        <v>9</v>
      </c>
      <c r="D6">
        <v>645.45000000000005</v>
      </c>
      <c r="E6" s="1">
        <f>motor_data_8screws_8bolts_evenly_distributed[[#This Row],[Time (s)]]-1764249896</f>
        <v>2</v>
      </c>
      <c r="H6">
        <f>motor_data_8screws_8bolts_evenly_distributed[[#This Row],[RPM]]*(-1)</f>
        <v>-645.45000000000005</v>
      </c>
    </row>
    <row r="7" spans="1:8" x14ac:dyDescent="0.25">
      <c r="A7">
        <v>1764249899</v>
      </c>
      <c r="B7">
        <v>-239.95</v>
      </c>
      <c r="C7" t="s">
        <v>10</v>
      </c>
      <c r="D7">
        <v>643.17999999999995</v>
      </c>
      <c r="E7" s="1">
        <f>motor_data_8screws_8bolts_evenly_distributed[[#This Row],[Time (s)]]-1764249896</f>
        <v>3</v>
      </c>
      <c r="H7">
        <f>motor_data_8screws_8bolts_evenly_distributed[[#This Row],[RPM]]*(-1)</f>
        <v>-643.17999999999995</v>
      </c>
    </row>
    <row r="8" spans="1:8" x14ac:dyDescent="0.25">
      <c r="A8">
        <v>1764249900</v>
      </c>
      <c r="B8">
        <v>-237.45</v>
      </c>
      <c r="C8" t="s">
        <v>10</v>
      </c>
      <c r="D8">
        <v>643.17999999999995</v>
      </c>
      <c r="E8" s="1">
        <f>motor_data_8screws_8bolts_evenly_distributed[[#This Row],[Time (s)]]-1764249896</f>
        <v>4</v>
      </c>
      <c r="H8">
        <f>motor_data_8screws_8bolts_evenly_distributed[[#This Row],[RPM]]*(-1)</f>
        <v>-643.17999999999995</v>
      </c>
    </row>
    <row r="9" spans="1:8" x14ac:dyDescent="0.25">
      <c r="A9">
        <v>1764249900</v>
      </c>
      <c r="B9">
        <v>-234.95</v>
      </c>
      <c r="C9" t="s">
        <v>10</v>
      </c>
      <c r="D9">
        <v>643.17999999999995</v>
      </c>
      <c r="E9" s="1">
        <f>motor_data_8screws_8bolts_evenly_distributed[[#This Row],[Time (s)]]-1764249896</f>
        <v>4</v>
      </c>
      <c r="H9">
        <f>motor_data_8screws_8bolts_evenly_distributed[[#This Row],[RPM]]*(-1)</f>
        <v>-643.17999999999995</v>
      </c>
    </row>
    <row r="10" spans="1:8" x14ac:dyDescent="0.25">
      <c r="A10">
        <v>1764249901</v>
      </c>
      <c r="B10">
        <v>-232.45</v>
      </c>
      <c r="C10" t="s">
        <v>11</v>
      </c>
      <c r="D10">
        <v>642.04999999999995</v>
      </c>
      <c r="E10" s="1">
        <f>motor_data_8screws_8bolts_evenly_distributed[[#This Row],[Time (s)]]-1764249896</f>
        <v>5</v>
      </c>
      <c r="H10">
        <f>motor_data_8screws_8bolts_evenly_distributed[[#This Row],[RPM]]*(-1)</f>
        <v>-642.04999999999995</v>
      </c>
    </row>
    <row r="11" spans="1:8" x14ac:dyDescent="0.25">
      <c r="A11">
        <v>1764249901</v>
      </c>
      <c r="B11">
        <v>-229.95</v>
      </c>
      <c r="C11" t="s">
        <v>11</v>
      </c>
      <c r="D11">
        <v>642.04999999999995</v>
      </c>
      <c r="E11" s="1">
        <f>motor_data_8screws_8bolts_evenly_distributed[[#This Row],[Time (s)]]-1764249896</f>
        <v>5</v>
      </c>
      <c r="H11">
        <f>motor_data_8screws_8bolts_evenly_distributed[[#This Row],[RPM]]*(-1)</f>
        <v>-642.04999999999995</v>
      </c>
    </row>
    <row r="12" spans="1:8" x14ac:dyDescent="0.25">
      <c r="A12">
        <v>1764249902</v>
      </c>
      <c r="B12">
        <v>-227.45</v>
      </c>
      <c r="C12" t="s">
        <v>12</v>
      </c>
      <c r="D12">
        <v>640.91</v>
      </c>
      <c r="E12" s="1">
        <f>motor_data_8screws_8bolts_evenly_distributed[[#This Row],[Time (s)]]-1764249896</f>
        <v>6</v>
      </c>
      <c r="H12">
        <f>motor_data_8screws_8bolts_evenly_distributed[[#This Row],[RPM]]*(-1)</f>
        <v>-640.91</v>
      </c>
    </row>
    <row r="13" spans="1:8" x14ac:dyDescent="0.25">
      <c r="A13">
        <v>1764249902</v>
      </c>
      <c r="B13">
        <v>-224.95</v>
      </c>
      <c r="C13" t="s">
        <v>13</v>
      </c>
      <c r="D13">
        <v>638.64</v>
      </c>
      <c r="E13" s="1">
        <f>motor_data_8screws_8bolts_evenly_distributed[[#This Row],[Time (s)]]-1764249896</f>
        <v>6</v>
      </c>
      <c r="H13">
        <f>motor_data_8screws_8bolts_evenly_distributed[[#This Row],[RPM]]*(-1)</f>
        <v>-638.64</v>
      </c>
    </row>
    <row r="14" spans="1:8" x14ac:dyDescent="0.25">
      <c r="A14">
        <v>1764249903</v>
      </c>
      <c r="B14">
        <v>-222.45</v>
      </c>
      <c r="C14" t="s">
        <v>14</v>
      </c>
      <c r="D14">
        <v>636.36</v>
      </c>
      <c r="E14" s="1">
        <f>motor_data_8screws_8bolts_evenly_distributed[[#This Row],[Time (s)]]-1764249896</f>
        <v>7</v>
      </c>
      <c r="H14">
        <f>motor_data_8screws_8bolts_evenly_distributed[[#This Row],[RPM]]*(-1)</f>
        <v>-636.36</v>
      </c>
    </row>
    <row r="15" spans="1:8" x14ac:dyDescent="0.25">
      <c r="A15">
        <v>1764249903</v>
      </c>
      <c r="B15">
        <v>-219.95</v>
      </c>
      <c r="C15" t="s">
        <v>15</v>
      </c>
      <c r="D15">
        <v>634.09</v>
      </c>
      <c r="E15" s="1">
        <f>motor_data_8screws_8bolts_evenly_distributed[[#This Row],[Time (s)]]-1764249896</f>
        <v>7</v>
      </c>
      <c r="H15">
        <f>motor_data_8screws_8bolts_evenly_distributed[[#This Row],[RPM]]*(-1)</f>
        <v>-634.09</v>
      </c>
    </row>
    <row r="16" spans="1:8" x14ac:dyDescent="0.25">
      <c r="A16">
        <v>1764249904</v>
      </c>
      <c r="B16">
        <v>-217.45</v>
      </c>
      <c r="C16" t="s">
        <v>16</v>
      </c>
      <c r="D16">
        <v>632.95000000000005</v>
      </c>
      <c r="E16" s="1">
        <f>motor_data_8screws_8bolts_evenly_distributed[[#This Row],[Time (s)]]-1764249896</f>
        <v>8</v>
      </c>
      <c r="H16">
        <f>motor_data_8screws_8bolts_evenly_distributed[[#This Row],[RPM]]*(-1)</f>
        <v>-632.95000000000005</v>
      </c>
    </row>
    <row r="17" spans="1:8" x14ac:dyDescent="0.25">
      <c r="A17">
        <v>1764249904</v>
      </c>
      <c r="B17">
        <v>-214.95</v>
      </c>
      <c r="C17" t="s">
        <v>6</v>
      </c>
      <c r="D17">
        <v>630.67999999999995</v>
      </c>
      <c r="E17" s="1">
        <f>motor_data_8screws_8bolts_evenly_distributed[[#This Row],[Time (s)]]-1764249896</f>
        <v>8</v>
      </c>
      <c r="H17">
        <f>motor_data_8screws_8bolts_evenly_distributed[[#This Row],[RPM]]*(-1)</f>
        <v>-630.67999999999995</v>
      </c>
    </row>
    <row r="18" spans="1:8" x14ac:dyDescent="0.25">
      <c r="A18">
        <v>1764249905</v>
      </c>
      <c r="B18">
        <v>-212.45</v>
      </c>
      <c r="C18" t="s">
        <v>17</v>
      </c>
      <c r="D18">
        <v>629.54999999999995</v>
      </c>
      <c r="E18" s="1">
        <f>motor_data_8screws_8bolts_evenly_distributed[[#This Row],[Time (s)]]-1764249896</f>
        <v>9</v>
      </c>
      <c r="H18">
        <f>motor_data_8screws_8bolts_evenly_distributed[[#This Row],[RPM]]*(-1)</f>
        <v>-629.54999999999995</v>
      </c>
    </row>
    <row r="19" spans="1:8" x14ac:dyDescent="0.25">
      <c r="A19">
        <v>1764249906</v>
      </c>
      <c r="B19">
        <v>-209.95</v>
      </c>
      <c r="C19" t="s">
        <v>18</v>
      </c>
      <c r="D19">
        <v>627.27</v>
      </c>
      <c r="E19" s="1">
        <f>motor_data_8screws_8bolts_evenly_distributed[[#This Row],[Time (s)]]-1764249896</f>
        <v>10</v>
      </c>
      <c r="H19">
        <f>motor_data_8screws_8bolts_evenly_distributed[[#This Row],[RPM]]*(-1)</f>
        <v>-627.27</v>
      </c>
    </row>
    <row r="20" spans="1:8" x14ac:dyDescent="0.25">
      <c r="A20">
        <v>1764249906</v>
      </c>
      <c r="B20">
        <v>-207.45</v>
      </c>
      <c r="C20" t="s">
        <v>19</v>
      </c>
      <c r="D20">
        <v>626.14</v>
      </c>
      <c r="E20" s="1">
        <f>motor_data_8screws_8bolts_evenly_distributed[[#This Row],[Time (s)]]-1764249896</f>
        <v>10</v>
      </c>
      <c r="H20">
        <f>motor_data_8screws_8bolts_evenly_distributed[[#This Row],[RPM]]*(-1)</f>
        <v>-626.14</v>
      </c>
    </row>
    <row r="21" spans="1:8" x14ac:dyDescent="0.25">
      <c r="A21">
        <v>1764249907</v>
      </c>
      <c r="B21">
        <v>-204.95</v>
      </c>
      <c r="C21" t="s">
        <v>20</v>
      </c>
      <c r="D21">
        <v>623.86</v>
      </c>
      <c r="E21" s="1">
        <f>motor_data_8screws_8bolts_evenly_distributed[[#This Row],[Time (s)]]-1764249896</f>
        <v>11</v>
      </c>
      <c r="H21">
        <f>motor_data_8screws_8bolts_evenly_distributed[[#This Row],[RPM]]*(-1)</f>
        <v>-623.86</v>
      </c>
    </row>
    <row r="22" spans="1:8" x14ac:dyDescent="0.25">
      <c r="A22">
        <v>1764249907</v>
      </c>
      <c r="B22">
        <v>-202.45</v>
      </c>
      <c r="C22" t="s">
        <v>21</v>
      </c>
      <c r="D22">
        <v>620.45000000000005</v>
      </c>
      <c r="E22" s="1">
        <f>motor_data_8screws_8bolts_evenly_distributed[[#This Row],[Time (s)]]-1764249896</f>
        <v>11</v>
      </c>
      <c r="H22">
        <f>motor_data_8screws_8bolts_evenly_distributed[[#This Row],[RPM]]*(-1)</f>
        <v>-620.45000000000005</v>
      </c>
    </row>
    <row r="23" spans="1:8" x14ac:dyDescent="0.25">
      <c r="A23">
        <v>1764249908</v>
      </c>
      <c r="B23">
        <v>-199.95</v>
      </c>
      <c r="C23" t="s">
        <v>22</v>
      </c>
      <c r="D23">
        <v>618.17999999999995</v>
      </c>
      <c r="E23" s="1">
        <f>motor_data_8screws_8bolts_evenly_distributed[[#This Row],[Time (s)]]-1764249896</f>
        <v>12</v>
      </c>
      <c r="H23">
        <f>motor_data_8screws_8bolts_evenly_distributed[[#This Row],[RPM]]*(-1)</f>
        <v>-618.17999999999995</v>
      </c>
    </row>
    <row r="24" spans="1:8" x14ac:dyDescent="0.25">
      <c r="A24">
        <v>1764249908</v>
      </c>
      <c r="B24">
        <v>-197.45</v>
      </c>
      <c r="C24" t="s">
        <v>23</v>
      </c>
      <c r="D24">
        <v>615.91</v>
      </c>
      <c r="E24" s="1">
        <f>motor_data_8screws_8bolts_evenly_distributed[[#This Row],[Time (s)]]-1764249896</f>
        <v>12</v>
      </c>
      <c r="H24">
        <f>motor_data_8screws_8bolts_evenly_distributed[[#This Row],[RPM]]*(-1)</f>
        <v>-615.91</v>
      </c>
    </row>
    <row r="25" spans="1:8" x14ac:dyDescent="0.25">
      <c r="A25">
        <v>1764249909</v>
      </c>
      <c r="B25">
        <v>-194.95</v>
      </c>
      <c r="C25" t="s">
        <v>24</v>
      </c>
      <c r="D25">
        <v>614.77</v>
      </c>
      <c r="E25" s="1">
        <f>motor_data_8screws_8bolts_evenly_distributed[[#This Row],[Time (s)]]-1764249896</f>
        <v>13</v>
      </c>
      <c r="H25">
        <f>motor_data_8screws_8bolts_evenly_distributed[[#This Row],[RPM]]*(-1)</f>
        <v>-614.77</v>
      </c>
    </row>
    <row r="26" spans="1:8" x14ac:dyDescent="0.25">
      <c r="A26">
        <v>1764249909</v>
      </c>
      <c r="B26">
        <v>-192.45</v>
      </c>
      <c r="C26" t="s">
        <v>25</v>
      </c>
      <c r="D26">
        <v>611.36</v>
      </c>
      <c r="E26" s="1">
        <f>motor_data_8screws_8bolts_evenly_distributed[[#This Row],[Time (s)]]-1764249896</f>
        <v>13</v>
      </c>
      <c r="H26">
        <f>motor_data_8screws_8bolts_evenly_distributed[[#This Row],[RPM]]*(-1)</f>
        <v>-611.36</v>
      </c>
    </row>
    <row r="27" spans="1:8" x14ac:dyDescent="0.25">
      <c r="A27">
        <v>1764249910</v>
      </c>
      <c r="B27">
        <v>-189.95</v>
      </c>
      <c r="C27" t="s">
        <v>26</v>
      </c>
      <c r="D27">
        <v>609.09</v>
      </c>
      <c r="E27" s="1">
        <f>motor_data_8screws_8bolts_evenly_distributed[[#This Row],[Time (s)]]-1764249896</f>
        <v>14</v>
      </c>
      <c r="H27">
        <f>motor_data_8screws_8bolts_evenly_distributed[[#This Row],[RPM]]*(-1)</f>
        <v>-609.09</v>
      </c>
    </row>
    <row r="28" spans="1:8" x14ac:dyDescent="0.25">
      <c r="A28">
        <v>1764249911</v>
      </c>
      <c r="B28">
        <v>-187.45</v>
      </c>
      <c r="C28" t="s">
        <v>27</v>
      </c>
      <c r="D28">
        <v>606.82000000000005</v>
      </c>
      <c r="E28" s="1">
        <f>motor_data_8screws_8bolts_evenly_distributed[[#This Row],[Time (s)]]-1764249896</f>
        <v>15</v>
      </c>
      <c r="H28">
        <f>motor_data_8screws_8bolts_evenly_distributed[[#This Row],[RPM]]*(-1)</f>
        <v>-606.82000000000005</v>
      </c>
    </row>
    <row r="29" spans="1:8" x14ac:dyDescent="0.25">
      <c r="A29">
        <v>1764249911</v>
      </c>
      <c r="B29">
        <v>-184.95</v>
      </c>
      <c r="C29" t="s">
        <v>28</v>
      </c>
      <c r="D29">
        <v>605.67999999999995</v>
      </c>
      <c r="E29" s="1">
        <f>motor_data_8screws_8bolts_evenly_distributed[[#This Row],[Time (s)]]-1764249896</f>
        <v>15</v>
      </c>
      <c r="H29">
        <f>motor_data_8screws_8bolts_evenly_distributed[[#This Row],[RPM]]*(-1)</f>
        <v>-605.67999999999995</v>
      </c>
    </row>
    <row r="30" spans="1:8" x14ac:dyDescent="0.25">
      <c r="A30">
        <v>1764249912</v>
      </c>
      <c r="B30">
        <v>-182.45</v>
      </c>
      <c r="C30" t="s">
        <v>29</v>
      </c>
      <c r="D30">
        <v>602.27</v>
      </c>
      <c r="E30" s="1">
        <f>motor_data_8screws_8bolts_evenly_distributed[[#This Row],[Time (s)]]-1764249896</f>
        <v>16</v>
      </c>
      <c r="H30">
        <f>motor_data_8screws_8bolts_evenly_distributed[[#This Row],[RPM]]*(-1)</f>
        <v>-602.27</v>
      </c>
    </row>
    <row r="31" spans="1:8" x14ac:dyDescent="0.25">
      <c r="A31">
        <v>1764249912</v>
      </c>
      <c r="B31">
        <v>-179.95</v>
      </c>
      <c r="C31" t="s">
        <v>30</v>
      </c>
      <c r="D31">
        <v>600</v>
      </c>
      <c r="E31" s="1">
        <f>motor_data_8screws_8bolts_evenly_distributed[[#This Row],[Time (s)]]-1764249896</f>
        <v>16</v>
      </c>
      <c r="H31">
        <f>motor_data_8screws_8bolts_evenly_distributed[[#This Row],[RPM]]*(-1)</f>
        <v>-600</v>
      </c>
    </row>
    <row r="32" spans="1:8" x14ac:dyDescent="0.25">
      <c r="A32">
        <v>1764249913</v>
      </c>
      <c r="B32">
        <v>-177.45</v>
      </c>
      <c r="C32" t="s">
        <v>31</v>
      </c>
      <c r="D32">
        <v>597.73</v>
      </c>
      <c r="E32" s="1">
        <f>motor_data_8screws_8bolts_evenly_distributed[[#This Row],[Time (s)]]-1764249896</f>
        <v>17</v>
      </c>
      <c r="H32">
        <f>motor_data_8screws_8bolts_evenly_distributed[[#This Row],[RPM]]*(-1)</f>
        <v>-597.73</v>
      </c>
    </row>
    <row r="33" spans="1:8" x14ac:dyDescent="0.25">
      <c r="A33">
        <v>1764249913</v>
      </c>
      <c r="B33">
        <v>-174.95</v>
      </c>
      <c r="C33" t="s">
        <v>32</v>
      </c>
      <c r="D33">
        <v>595.45000000000005</v>
      </c>
      <c r="E33" s="1">
        <f>motor_data_8screws_8bolts_evenly_distributed[[#This Row],[Time (s)]]-1764249896</f>
        <v>17</v>
      </c>
      <c r="H33">
        <f>motor_data_8screws_8bolts_evenly_distributed[[#This Row],[RPM]]*(-1)</f>
        <v>-595.45000000000005</v>
      </c>
    </row>
    <row r="34" spans="1:8" x14ac:dyDescent="0.25">
      <c r="A34">
        <v>1764249914</v>
      </c>
      <c r="B34">
        <v>-172.45</v>
      </c>
      <c r="C34" t="s">
        <v>33</v>
      </c>
      <c r="D34">
        <v>592.04999999999995</v>
      </c>
      <c r="E34" s="1">
        <f>motor_data_8screws_8bolts_evenly_distributed[[#This Row],[Time (s)]]-1764249896</f>
        <v>18</v>
      </c>
      <c r="H34">
        <f>motor_data_8screws_8bolts_evenly_distributed[[#This Row],[RPM]]*(-1)</f>
        <v>-592.04999999999995</v>
      </c>
    </row>
    <row r="35" spans="1:8" x14ac:dyDescent="0.25">
      <c r="A35">
        <v>1764249914</v>
      </c>
      <c r="B35">
        <v>-169.95</v>
      </c>
      <c r="C35" t="s">
        <v>34</v>
      </c>
      <c r="D35">
        <v>589.77</v>
      </c>
      <c r="E35" s="1">
        <f>motor_data_8screws_8bolts_evenly_distributed[[#This Row],[Time (s)]]-1764249896</f>
        <v>18</v>
      </c>
      <c r="H35">
        <f>motor_data_8screws_8bolts_evenly_distributed[[#This Row],[RPM]]*(-1)</f>
        <v>-589.77</v>
      </c>
    </row>
    <row r="36" spans="1:8" x14ac:dyDescent="0.25">
      <c r="A36">
        <v>1764249915</v>
      </c>
      <c r="B36">
        <v>-167.45</v>
      </c>
      <c r="C36" t="s">
        <v>35</v>
      </c>
      <c r="D36">
        <v>586.36</v>
      </c>
      <c r="E36" s="1">
        <f>motor_data_8screws_8bolts_evenly_distributed[[#This Row],[Time (s)]]-1764249896</f>
        <v>19</v>
      </c>
      <c r="H36">
        <f>motor_data_8screws_8bolts_evenly_distributed[[#This Row],[RPM]]*(-1)</f>
        <v>-586.36</v>
      </c>
    </row>
    <row r="37" spans="1:8" x14ac:dyDescent="0.25">
      <c r="A37">
        <v>1764249916</v>
      </c>
      <c r="B37">
        <v>-164.95</v>
      </c>
      <c r="C37" t="s">
        <v>36</v>
      </c>
      <c r="D37">
        <v>582.95000000000005</v>
      </c>
      <c r="E37" s="1">
        <f>motor_data_8screws_8bolts_evenly_distributed[[#This Row],[Time (s)]]-1764249896</f>
        <v>20</v>
      </c>
      <c r="H37">
        <f>motor_data_8screws_8bolts_evenly_distributed[[#This Row],[RPM]]*(-1)</f>
        <v>-582.95000000000005</v>
      </c>
    </row>
    <row r="38" spans="1:8" x14ac:dyDescent="0.25">
      <c r="A38">
        <v>1764249916</v>
      </c>
      <c r="B38">
        <v>-162.44999999999999</v>
      </c>
      <c r="C38" t="s">
        <v>37</v>
      </c>
      <c r="D38">
        <v>580.67999999999995</v>
      </c>
      <c r="E38" s="1">
        <f>motor_data_8screws_8bolts_evenly_distributed[[#This Row],[Time (s)]]-1764249896</f>
        <v>20</v>
      </c>
      <c r="H38">
        <f>motor_data_8screws_8bolts_evenly_distributed[[#This Row],[RPM]]*(-1)</f>
        <v>-580.67999999999995</v>
      </c>
    </row>
    <row r="39" spans="1:8" x14ac:dyDescent="0.25">
      <c r="A39">
        <v>1764249917</v>
      </c>
      <c r="B39">
        <v>-159.94999999999999</v>
      </c>
      <c r="C39" t="s">
        <v>38</v>
      </c>
      <c r="D39">
        <v>577.27</v>
      </c>
      <c r="E39" s="1">
        <f>motor_data_8screws_8bolts_evenly_distributed[[#This Row],[Time (s)]]-1764249896</f>
        <v>21</v>
      </c>
      <c r="H39">
        <f>motor_data_8screws_8bolts_evenly_distributed[[#This Row],[RPM]]*(-1)</f>
        <v>-577.27</v>
      </c>
    </row>
    <row r="40" spans="1:8" x14ac:dyDescent="0.25">
      <c r="A40">
        <v>1764249917</v>
      </c>
      <c r="B40">
        <v>-157.44999999999999</v>
      </c>
      <c r="C40" t="s">
        <v>39</v>
      </c>
      <c r="D40">
        <v>576.14</v>
      </c>
      <c r="E40" s="1">
        <f>motor_data_8screws_8bolts_evenly_distributed[[#This Row],[Time (s)]]-1764249896</f>
        <v>21</v>
      </c>
      <c r="H40">
        <f>motor_data_8screws_8bolts_evenly_distributed[[#This Row],[RPM]]*(-1)</f>
        <v>-576.14</v>
      </c>
    </row>
    <row r="41" spans="1:8" x14ac:dyDescent="0.25">
      <c r="A41">
        <v>1764249918</v>
      </c>
      <c r="B41">
        <v>-154.94999999999999</v>
      </c>
      <c r="C41" t="s">
        <v>40</v>
      </c>
      <c r="D41">
        <v>572.73</v>
      </c>
      <c r="E41" s="1">
        <f>motor_data_8screws_8bolts_evenly_distributed[[#This Row],[Time (s)]]-1764249896</f>
        <v>22</v>
      </c>
      <c r="H41">
        <f>motor_data_8screws_8bolts_evenly_distributed[[#This Row],[RPM]]*(-1)</f>
        <v>-572.73</v>
      </c>
    </row>
    <row r="42" spans="1:8" x14ac:dyDescent="0.25">
      <c r="A42">
        <v>1764249918</v>
      </c>
      <c r="B42">
        <v>-152.44999999999999</v>
      </c>
      <c r="C42" t="s">
        <v>41</v>
      </c>
      <c r="D42">
        <v>571.59</v>
      </c>
      <c r="E42" s="1">
        <f>motor_data_8screws_8bolts_evenly_distributed[[#This Row],[Time (s)]]-1764249896</f>
        <v>22</v>
      </c>
      <c r="H42">
        <f>motor_data_8screws_8bolts_evenly_distributed[[#This Row],[RPM]]*(-1)</f>
        <v>-571.59</v>
      </c>
    </row>
    <row r="43" spans="1:8" x14ac:dyDescent="0.25">
      <c r="A43">
        <v>1764249919</v>
      </c>
      <c r="B43">
        <v>-149.94999999999999</v>
      </c>
      <c r="C43" t="s">
        <v>42</v>
      </c>
      <c r="D43">
        <v>568.17999999999995</v>
      </c>
      <c r="E43" s="1">
        <f>motor_data_8screws_8bolts_evenly_distributed[[#This Row],[Time (s)]]-1764249896</f>
        <v>23</v>
      </c>
      <c r="H43">
        <f>motor_data_8screws_8bolts_evenly_distributed[[#This Row],[RPM]]*(-1)</f>
        <v>-568.17999999999995</v>
      </c>
    </row>
    <row r="44" spans="1:8" x14ac:dyDescent="0.25">
      <c r="A44">
        <v>1764249919</v>
      </c>
      <c r="B44">
        <v>-147.44999999999999</v>
      </c>
      <c r="C44" t="s">
        <v>43</v>
      </c>
      <c r="D44">
        <v>562.5</v>
      </c>
      <c r="E44" s="1">
        <f>motor_data_8screws_8bolts_evenly_distributed[[#This Row],[Time (s)]]-1764249896</f>
        <v>23</v>
      </c>
      <c r="H44">
        <f>motor_data_8screws_8bolts_evenly_distributed[[#This Row],[RPM]]*(-1)</f>
        <v>-562.5</v>
      </c>
    </row>
    <row r="45" spans="1:8" x14ac:dyDescent="0.25">
      <c r="A45">
        <v>1764249920</v>
      </c>
      <c r="B45">
        <v>-144.94999999999999</v>
      </c>
      <c r="C45" t="s">
        <v>44</v>
      </c>
      <c r="D45">
        <v>559.09</v>
      </c>
      <c r="E45" s="1">
        <f>motor_data_8screws_8bolts_evenly_distributed[[#This Row],[Time (s)]]-1764249896</f>
        <v>24</v>
      </c>
      <c r="H45">
        <f>motor_data_8screws_8bolts_evenly_distributed[[#This Row],[RPM]]*(-1)</f>
        <v>-559.09</v>
      </c>
    </row>
    <row r="46" spans="1:8" x14ac:dyDescent="0.25">
      <c r="A46">
        <v>1764249921</v>
      </c>
      <c r="B46">
        <v>-142.44999999999999</v>
      </c>
      <c r="C46" t="s">
        <v>45</v>
      </c>
      <c r="D46">
        <v>555.67999999999995</v>
      </c>
      <c r="E46" s="1">
        <f>motor_data_8screws_8bolts_evenly_distributed[[#This Row],[Time (s)]]-1764249896</f>
        <v>25</v>
      </c>
      <c r="H46">
        <f>motor_data_8screws_8bolts_evenly_distributed[[#This Row],[RPM]]*(-1)</f>
        <v>-555.67999999999995</v>
      </c>
    </row>
    <row r="47" spans="1:8" x14ac:dyDescent="0.25">
      <c r="A47">
        <v>1764249921</v>
      </c>
      <c r="B47">
        <v>-139.94999999999999</v>
      </c>
      <c r="C47" t="s">
        <v>46</v>
      </c>
      <c r="D47">
        <v>551.14</v>
      </c>
      <c r="E47" s="1">
        <f>motor_data_8screws_8bolts_evenly_distributed[[#This Row],[Time (s)]]-1764249896</f>
        <v>25</v>
      </c>
      <c r="H47">
        <f>motor_data_8screws_8bolts_evenly_distributed[[#This Row],[RPM]]*(-1)</f>
        <v>-551.14</v>
      </c>
    </row>
    <row r="48" spans="1:8" x14ac:dyDescent="0.25">
      <c r="A48">
        <v>1764249922</v>
      </c>
      <c r="B48">
        <v>-137.44999999999999</v>
      </c>
      <c r="C48" t="s">
        <v>47</v>
      </c>
      <c r="D48">
        <v>548.86</v>
      </c>
      <c r="E48" s="1">
        <f>motor_data_8screws_8bolts_evenly_distributed[[#This Row],[Time (s)]]-1764249896</f>
        <v>26</v>
      </c>
      <c r="H48">
        <f>motor_data_8screws_8bolts_evenly_distributed[[#This Row],[RPM]]*(-1)</f>
        <v>-548.86</v>
      </c>
    </row>
    <row r="49" spans="1:8" x14ac:dyDescent="0.25">
      <c r="A49">
        <v>1764249922</v>
      </c>
      <c r="B49">
        <v>-134.94999999999999</v>
      </c>
      <c r="C49" t="s">
        <v>48</v>
      </c>
      <c r="D49">
        <v>543.17999999999995</v>
      </c>
      <c r="E49" s="1">
        <f>motor_data_8screws_8bolts_evenly_distributed[[#This Row],[Time (s)]]-1764249896</f>
        <v>26</v>
      </c>
      <c r="H49">
        <f>motor_data_8screws_8bolts_evenly_distributed[[#This Row],[RPM]]*(-1)</f>
        <v>-543.17999999999995</v>
      </c>
    </row>
    <row r="50" spans="1:8" x14ac:dyDescent="0.25">
      <c r="A50">
        <v>1764249923</v>
      </c>
      <c r="B50">
        <v>-132.44999999999999</v>
      </c>
      <c r="C50" t="s">
        <v>49</v>
      </c>
      <c r="D50">
        <v>539.77</v>
      </c>
      <c r="E50" s="1">
        <f>motor_data_8screws_8bolts_evenly_distributed[[#This Row],[Time (s)]]-1764249896</f>
        <v>27</v>
      </c>
      <c r="H50">
        <f>motor_data_8screws_8bolts_evenly_distributed[[#This Row],[RPM]]*(-1)</f>
        <v>-539.77</v>
      </c>
    </row>
    <row r="51" spans="1:8" x14ac:dyDescent="0.25">
      <c r="A51">
        <v>1764249923</v>
      </c>
      <c r="B51">
        <v>-129.94999999999999</v>
      </c>
      <c r="C51" t="s">
        <v>50</v>
      </c>
      <c r="D51">
        <v>532.95000000000005</v>
      </c>
      <c r="E51" s="1">
        <f>motor_data_8screws_8bolts_evenly_distributed[[#This Row],[Time (s)]]-1764249896</f>
        <v>27</v>
      </c>
      <c r="H51">
        <f>motor_data_8screws_8bolts_evenly_distributed[[#This Row],[RPM]]*(-1)</f>
        <v>-532.95000000000005</v>
      </c>
    </row>
    <row r="52" spans="1:8" x14ac:dyDescent="0.25">
      <c r="A52">
        <v>1764249924</v>
      </c>
      <c r="B52">
        <v>-127.45</v>
      </c>
      <c r="C52" t="s">
        <v>51</v>
      </c>
      <c r="D52">
        <v>529.54999999999995</v>
      </c>
      <c r="E52" s="1">
        <f>motor_data_8screws_8bolts_evenly_distributed[[#This Row],[Time (s)]]-1764249896</f>
        <v>28</v>
      </c>
      <c r="H52">
        <f>motor_data_8screws_8bolts_evenly_distributed[[#This Row],[RPM]]*(-1)</f>
        <v>-529.54999999999995</v>
      </c>
    </row>
    <row r="53" spans="1:8" x14ac:dyDescent="0.25">
      <c r="A53">
        <v>1764249924</v>
      </c>
      <c r="B53">
        <v>-124.95</v>
      </c>
      <c r="C53" t="s">
        <v>52</v>
      </c>
      <c r="D53">
        <v>525</v>
      </c>
      <c r="E53" s="1">
        <f>motor_data_8screws_8bolts_evenly_distributed[[#This Row],[Time (s)]]-1764249896</f>
        <v>28</v>
      </c>
      <c r="H53">
        <f>motor_data_8screws_8bolts_evenly_distributed[[#This Row],[RPM]]*(-1)</f>
        <v>-525</v>
      </c>
    </row>
    <row r="54" spans="1:8" x14ac:dyDescent="0.25">
      <c r="A54">
        <v>1764249925</v>
      </c>
      <c r="B54">
        <v>-122.45</v>
      </c>
      <c r="C54" t="s">
        <v>53</v>
      </c>
      <c r="D54">
        <v>519.32000000000005</v>
      </c>
      <c r="E54" s="1">
        <f>motor_data_8screws_8bolts_evenly_distributed[[#This Row],[Time (s)]]-1764249896</f>
        <v>29</v>
      </c>
      <c r="H54">
        <f>motor_data_8screws_8bolts_evenly_distributed[[#This Row],[RPM]]*(-1)</f>
        <v>-519.32000000000005</v>
      </c>
    </row>
    <row r="55" spans="1:8" x14ac:dyDescent="0.25">
      <c r="A55">
        <v>1764249925</v>
      </c>
      <c r="B55">
        <v>-119.95</v>
      </c>
      <c r="C55" t="s">
        <v>54</v>
      </c>
      <c r="D55">
        <v>514.77</v>
      </c>
      <c r="E55" s="1">
        <f>motor_data_8screws_8bolts_evenly_distributed[[#This Row],[Time (s)]]-1764249896</f>
        <v>29</v>
      </c>
      <c r="H55">
        <f>motor_data_8screws_8bolts_evenly_distributed[[#This Row],[RPM]]*(-1)</f>
        <v>-514.77</v>
      </c>
    </row>
    <row r="56" spans="1:8" x14ac:dyDescent="0.25">
      <c r="A56">
        <v>1764249926</v>
      </c>
      <c r="B56">
        <v>-117.45</v>
      </c>
      <c r="C56" t="s">
        <v>55</v>
      </c>
      <c r="D56">
        <v>509.09</v>
      </c>
      <c r="E56" s="1">
        <f>motor_data_8screws_8bolts_evenly_distributed[[#This Row],[Time (s)]]-1764249896</f>
        <v>30</v>
      </c>
      <c r="H56">
        <f>motor_data_8screws_8bolts_evenly_distributed[[#This Row],[RPM]]*(-1)</f>
        <v>-509.09</v>
      </c>
    </row>
    <row r="57" spans="1:8" x14ac:dyDescent="0.25">
      <c r="A57">
        <v>1764249927</v>
      </c>
      <c r="B57">
        <v>-114.95</v>
      </c>
      <c r="C57" t="s">
        <v>56</v>
      </c>
      <c r="D57">
        <v>503.41</v>
      </c>
      <c r="E57" s="1">
        <f>motor_data_8screws_8bolts_evenly_distributed[[#This Row],[Time (s)]]-1764249896</f>
        <v>31</v>
      </c>
      <c r="H57">
        <f>motor_data_8screws_8bolts_evenly_distributed[[#This Row],[RPM]]*(-1)</f>
        <v>-503.41</v>
      </c>
    </row>
    <row r="58" spans="1:8" x14ac:dyDescent="0.25">
      <c r="A58">
        <v>1764249927</v>
      </c>
      <c r="B58">
        <v>-112.45</v>
      </c>
      <c r="C58" t="s">
        <v>57</v>
      </c>
      <c r="D58">
        <v>497.73</v>
      </c>
      <c r="E58" s="1">
        <f>motor_data_8screws_8bolts_evenly_distributed[[#This Row],[Time (s)]]-1764249896</f>
        <v>31</v>
      </c>
      <c r="H58">
        <f>motor_data_8screws_8bolts_evenly_distributed[[#This Row],[RPM]]*(-1)</f>
        <v>-497.73</v>
      </c>
    </row>
    <row r="59" spans="1:8" x14ac:dyDescent="0.25">
      <c r="A59">
        <v>1764249928</v>
      </c>
      <c r="B59">
        <v>-109.95</v>
      </c>
      <c r="C59" t="s">
        <v>58</v>
      </c>
      <c r="D59">
        <v>490.91</v>
      </c>
      <c r="E59" s="1">
        <f>motor_data_8screws_8bolts_evenly_distributed[[#This Row],[Time (s)]]-1764249896</f>
        <v>32</v>
      </c>
      <c r="H59">
        <f>motor_data_8screws_8bolts_evenly_distributed[[#This Row],[RPM]]*(-1)</f>
        <v>-490.91</v>
      </c>
    </row>
    <row r="60" spans="1:8" x14ac:dyDescent="0.25">
      <c r="A60">
        <v>1764249928</v>
      </c>
      <c r="B60">
        <v>-107.45</v>
      </c>
      <c r="C60" t="s">
        <v>59</v>
      </c>
      <c r="D60">
        <v>485.23</v>
      </c>
      <c r="E60" s="1">
        <f>motor_data_8screws_8bolts_evenly_distributed[[#This Row],[Time (s)]]-1764249896</f>
        <v>32</v>
      </c>
      <c r="H60">
        <f>motor_data_8screws_8bolts_evenly_distributed[[#This Row],[RPM]]*(-1)</f>
        <v>-485.23</v>
      </c>
    </row>
    <row r="61" spans="1:8" x14ac:dyDescent="0.25">
      <c r="A61">
        <v>1764249929</v>
      </c>
      <c r="B61">
        <v>-104.95</v>
      </c>
      <c r="C61" t="s">
        <v>60</v>
      </c>
      <c r="D61">
        <v>478.41</v>
      </c>
      <c r="E61" s="1">
        <f>motor_data_8screws_8bolts_evenly_distributed[[#This Row],[Time (s)]]-1764249896</f>
        <v>33</v>
      </c>
      <c r="H61">
        <f>motor_data_8screws_8bolts_evenly_distributed[[#This Row],[RPM]]*(-1)</f>
        <v>-478.41</v>
      </c>
    </row>
    <row r="62" spans="1:8" x14ac:dyDescent="0.25">
      <c r="A62">
        <v>1764249929</v>
      </c>
      <c r="B62">
        <v>-102.45</v>
      </c>
      <c r="C62" t="s">
        <v>61</v>
      </c>
      <c r="D62">
        <v>470.45</v>
      </c>
      <c r="E62" s="1">
        <f>motor_data_8screws_8bolts_evenly_distributed[[#This Row],[Time (s)]]-1764249896</f>
        <v>33</v>
      </c>
      <c r="H62">
        <f>motor_data_8screws_8bolts_evenly_distributed[[#This Row],[RPM]]*(-1)</f>
        <v>-470.45</v>
      </c>
    </row>
    <row r="63" spans="1:8" x14ac:dyDescent="0.25">
      <c r="A63">
        <v>1764249930</v>
      </c>
      <c r="B63">
        <v>-99.95</v>
      </c>
      <c r="C63" t="s">
        <v>62</v>
      </c>
      <c r="D63">
        <v>462.5</v>
      </c>
      <c r="E63" s="1">
        <f>motor_data_8screws_8bolts_evenly_distributed[[#This Row],[Time (s)]]-1764249896</f>
        <v>34</v>
      </c>
      <c r="H63">
        <f>motor_data_8screws_8bolts_evenly_distributed[[#This Row],[RPM]]*(-1)</f>
        <v>-462.5</v>
      </c>
    </row>
    <row r="64" spans="1:8" x14ac:dyDescent="0.25">
      <c r="A64">
        <v>1764249930</v>
      </c>
      <c r="B64">
        <v>-97.45</v>
      </c>
      <c r="C64" t="s">
        <v>63</v>
      </c>
      <c r="D64">
        <v>454.55</v>
      </c>
      <c r="E64" s="1">
        <f>motor_data_8screws_8bolts_evenly_distributed[[#This Row],[Time (s)]]-1764249896</f>
        <v>34</v>
      </c>
      <c r="H64">
        <f>motor_data_8screws_8bolts_evenly_distributed[[#This Row],[RPM]]*(-1)</f>
        <v>-454.55</v>
      </c>
    </row>
    <row r="65" spans="1:8" x14ac:dyDescent="0.25">
      <c r="A65">
        <v>1764249931</v>
      </c>
      <c r="B65">
        <v>-94.95</v>
      </c>
      <c r="C65" t="s">
        <v>64</v>
      </c>
      <c r="D65">
        <v>446.59</v>
      </c>
      <c r="E65" s="1">
        <f>motor_data_8screws_8bolts_evenly_distributed[[#This Row],[Time (s)]]-1764249896</f>
        <v>35</v>
      </c>
      <c r="H65">
        <f>motor_data_8screws_8bolts_evenly_distributed[[#This Row],[RPM]]*(-1)</f>
        <v>-446.59</v>
      </c>
    </row>
    <row r="66" spans="1:8" x14ac:dyDescent="0.25">
      <c r="A66">
        <v>1764249932</v>
      </c>
      <c r="B66">
        <v>-92.45</v>
      </c>
      <c r="C66" t="s">
        <v>65</v>
      </c>
      <c r="D66">
        <v>437.5</v>
      </c>
      <c r="E66" s="1">
        <f>motor_data_8screws_8bolts_evenly_distributed[[#This Row],[Time (s)]]-1764249896</f>
        <v>36</v>
      </c>
      <c r="H66">
        <f>motor_data_8screws_8bolts_evenly_distributed[[#This Row],[RPM]]*(-1)</f>
        <v>-437.5</v>
      </c>
    </row>
    <row r="67" spans="1:8" x14ac:dyDescent="0.25">
      <c r="A67">
        <v>1764249932</v>
      </c>
      <c r="B67">
        <v>-89.95</v>
      </c>
      <c r="C67" t="s">
        <v>66</v>
      </c>
      <c r="D67">
        <v>429.55</v>
      </c>
      <c r="E67" s="1">
        <f>motor_data_8screws_8bolts_evenly_distributed[[#This Row],[Time (s)]]-1764249896</f>
        <v>36</v>
      </c>
      <c r="H67">
        <f>motor_data_8screws_8bolts_evenly_distributed[[#This Row],[RPM]]*(-1)</f>
        <v>-429.55</v>
      </c>
    </row>
    <row r="68" spans="1:8" x14ac:dyDescent="0.25">
      <c r="A68">
        <v>1764249933</v>
      </c>
      <c r="B68">
        <v>-87.45</v>
      </c>
      <c r="C68" t="s">
        <v>67</v>
      </c>
      <c r="D68">
        <v>421.59</v>
      </c>
      <c r="E68" s="1">
        <f>motor_data_8screws_8bolts_evenly_distributed[[#This Row],[Time (s)]]-1764249896</f>
        <v>37</v>
      </c>
      <c r="H68">
        <f>motor_data_8screws_8bolts_evenly_distributed[[#This Row],[RPM]]*(-1)</f>
        <v>-421.59</v>
      </c>
    </row>
    <row r="69" spans="1:8" x14ac:dyDescent="0.25">
      <c r="A69">
        <v>1764249933</v>
      </c>
      <c r="B69">
        <v>-84.95</v>
      </c>
      <c r="C69" t="s">
        <v>68</v>
      </c>
      <c r="D69">
        <v>410.23</v>
      </c>
      <c r="E69" s="1">
        <f>motor_data_8screws_8bolts_evenly_distributed[[#This Row],[Time (s)]]-1764249896</f>
        <v>37</v>
      </c>
      <c r="H69">
        <f>motor_data_8screws_8bolts_evenly_distributed[[#This Row],[RPM]]*(-1)</f>
        <v>-410.23</v>
      </c>
    </row>
    <row r="70" spans="1:8" x14ac:dyDescent="0.25">
      <c r="A70">
        <v>1764249934</v>
      </c>
      <c r="B70">
        <v>-82.45</v>
      </c>
      <c r="C70" t="s">
        <v>69</v>
      </c>
      <c r="D70">
        <v>398.86</v>
      </c>
      <c r="E70" s="1">
        <f>motor_data_8screws_8bolts_evenly_distributed[[#This Row],[Time (s)]]-1764249896</f>
        <v>38</v>
      </c>
      <c r="H70">
        <f>motor_data_8screws_8bolts_evenly_distributed[[#This Row],[RPM]]*(-1)</f>
        <v>-398.86</v>
      </c>
    </row>
    <row r="71" spans="1:8" x14ac:dyDescent="0.25">
      <c r="A71">
        <v>1764249934</v>
      </c>
      <c r="B71">
        <v>-79.95</v>
      </c>
      <c r="C71" t="s">
        <v>70</v>
      </c>
      <c r="D71">
        <v>387.5</v>
      </c>
      <c r="E71" s="1">
        <f>motor_data_8screws_8bolts_evenly_distributed[[#This Row],[Time (s)]]-1764249896</f>
        <v>38</v>
      </c>
      <c r="H71">
        <f>motor_data_8screws_8bolts_evenly_distributed[[#This Row],[RPM]]*(-1)</f>
        <v>-387.5</v>
      </c>
    </row>
    <row r="72" spans="1:8" x14ac:dyDescent="0.25">
      <c r="A72">
        <v>1764249935</v>
      </c>
      <c r="B72">
        <v>-77.45</v>
      </c>
      <c r="C72" t="s">
        <v>71</v>
      </c>
      <c r="D72">
        <v>377.27</v>
      </c>
      <c r="E72" s="1">
        <f>motor_data_8screws_8bolts_evenly_distributed[[#This Row],[Time (s)]]-1764249896</f>
        <v>39</v>
      </c>
      <c r="H72">
        <f>motor_data_8screws_8bolts_evenly_distributed[[#This Row],[RPM]]*(-1)</f>
        <v>-377.27</v>
      </c>
    </row>
    <row r="73" spans="1:8" x14ac:dyDescent="0.25">
      <c r="A73">
        <v>1764249935</v>
      </c>
      <c r="B73">
        <v>-74.95</v>
      </c>
      <c r="C73" t="s">
        <v>72</v>
      </c>
      <c r="D73">
        <v>367.05</v>
      </c>
      <c r="E73" s="1">
        <f>motor_data_8screws_8bolts_evenly_distributed[[#This Row],[Time (s)]]-1764249896</f>
        <v>39</v>
      </c>
      <c r="H73">
        <f>motor_data_8screws_8bolts_evenly_distributed[[#This Row],[RPM]]*(-1)</f>
        <v>-367.05</v>
      </c>
    </row>
    <row r="74" spans="1:8" x14ac:dyDescent="0.25">
      <c r="A74">
        <v>1764249936</v>
      </c>
      <c r="B74">
        <v>-72.45</v>
      </c>
      <c r="C74" t="s">
        <v>73</v>
      </c>
      <c r="D74">
        <v>354.55</v>
      </c>
      <c r="E74" s="1">
        <f>motor_data_8screws_8bolts_evenly_distributed[[#This Row],[Time (s)]]-1764249896</f>
        <v>40</v>
      </c>
      <c r="H74">
        <f>motor_data_8screws_8bolts_evenly_distributed[[#This Row],[RPM]]*(-1)</f>
        <v>-354.55</v>
      </c>
    </row>
    <row r="75" spans="1:8" x14ac:dyDescent="0.25">
      <c r="A75">
        <v>1764249937</v>
      </c>
      <c r="B75">
        <v>-69.95</v>
      </c>
      <c r="C75" t="s">
        <v>74</v>
      </c>
      <c r="D75">
        <v>343.18</v>
      </c>
      <c r="E75" s="1">
        <f>motor_data_8screws_8bolts_evenly_distributed[[#This Row],[Time (s)]]-1764249896</f>
        <v>41</v>
      </c>
      <c r="H75">
        <f>motor_data_8screws_8bolts_evenly_distributed[[#This Row],[RPM]]*(-1)</f>
        <v>-343.18</v>
      </c>
    </row>
    <row r="76" spans="1:8" x14ac:dyDescent="0.25">
      <c r="A76">
        <v>1764249937</v>
      </c>
      <c r="B76">
        <v>-67.45</v>
      </c>
      <c r="C76" t="s">
        <v>75</v>
      </c>
      <c r="D76">
        <v>330.68</v>
      </c>
      <c r="E76" s="1">
        <f>motor_data_8screws_8bolts_evenly_distributed[[#This Row],[Time (s)]]-1764249896</f>
        <v>41</v>
      </c>
      <c r="H76">
        <f>motor_data_8screws_8bolts_evenly_distributed[[#This Row],[RPM]]*(-1)</f>
        <v>-330.68</v>
      </c>
    </row>
    <row r="77" spans="1:8" x14ac:dyDescent="0.25">
      <c r="A77">
        <v>1764249938</v>
      </c>
      <c r="B77">
        <v>-64.95</v>
      </c>
      <c r="C77" t="s">
        <v>76</v>
      </c>
      <c r="D77">
        <v>318.18</v>
      </c>
      <c r="E77" s="1">
        <f>motor_data_8screws_8bolts_evenly_distributed[[#This Row],[Time (s)]]-1764249896</f>
        <v>42</v>
      </c>
      <c r="H77">
        <f>motor_data_8screws_8bolts_evenly_distributed[[#This Row],[RPM]]*(-1)</f>
        <v>-318.18</v>
      </c>
    </row>
    <row r="78" spans="1:8" x14ac:dyDescent="0.25">
      <c r="A78">
        <v>1764249938</v>
      </c>
      <c r="B78">
        <v>-62.45</v>
      </c>
      <c r="C78" t="s">
        <v>77</v>
      </c>
      <c r="D78">
        <v>303.41000000000003</v>
      </c>
      <c r="E78" s="1">
        <f>motor_data_8screws_8bolts_evenly_distributed[[#This Row],[Time (s)]]-1764249896</f>
        <v>42</v>
      </c>
      <c r="H78">
        <f>motor_data_8screws_8bolts_evenly_distributed[[#This Row],[RPM]]*(-1)</f>
        <v>-303.41000000000003</v>
      </c>
    </row>
    <row r="79" spans="1:8" x14ac:dyDescent="0.25">
      <c r="A79">
        <v>1764249939</v>
      </c>
      <c r="B79">
        <v>-59.95</v>
      </c>
      <c r="C79" t="s">
        <v>78</v>
      </c>
      <c r="D79">
        <v>287.5</v>
      </c>
      <c r="E79" s="1">
        <f>motor_data_8screws_8bolts_evenly_distributed[[#This Row],[Time (s)]]-1764249896</f>
        <v>43</v>
      </c>
      <c r="H79">
        <f>motor_data_8screws_8bolts_evenly_distributed[[#This Row],[RPM]]*(-1)</f>
        <v>-287.5</v>
      </c>
    </row>
    <row r="80" spans="1:8" x14ac:dyDescent="0.25">
      <c r="A80">
        <v>1764249939</v>
      </c>
      <c r="B80">
        <v>-57.45</v>
      </c>
      <c r="C80" t="s">
        <v>79</v>
      </c>
      <c r="D80">
        <v>271.58999999999997</v>
      </c>
      <c r="E80" s="1">
        <f>motor_data_8screws_8bolts_evenly_distributed[[#This Row],[Time (s)]]-1764249896</f>
        <v>43</v>
      </c>
      <c r="H80">
        <f>motor_data_8screws_8bolts_evenly_distributed[[#This Row],[RPM]]*(-1)</f>
        <v>-271.58999999999997</v>
      </c>
    </row>
    <row r="81" spans="1:8" x14ac:dyDescent="0.25">
      <c r="A81">
        <v>1764249940</v>
      </c>
      <c r="B81">
        <v>-54.95</v>
      </c>
      <c r="C81" t="s">
        <v>80</v>
      </c>
      <c r="D81">
        <v>256.82</v>
      </c>
      <c r="E81" s="1">
        <f>motor_data_8screws_8bolts_evenly_distributed[[#This Row],[Time (s)]]-1764249896</f>
        <v>44</v>
      </c>
      <c r="H81">
        <f>motor_data_8screws_8bolts_evenly_distributed[[#This Row],[RPM]]*(-1)</f>
        <v>-256.82</v>
      </c>
    </row>
    <row r="82" spans="1:8" x14ac:dyDescent="0.25">
      <c r="A82">
        <v>1764249940</v>
      </c>
      <c r="B82">
        <v>-52.45</v>
      </c>
      <c r="C82" t="s">
        <v>81</v>
      </c>
      <c r="D82">
        <v>239.77</v>
      </c>
      <c r="E82" s="1">
        <f>motor_data_8screws_8bolts_evenly_distributed[[#This Row],[Time (s)]]-1764249896</f>
        <v>44</v>
      </c>
      <c r="H82">
        <f>motor_data_8screws_8bolts_evenly_distributed[[#This Row],[RPM]]*(-1)</f>
        <v>-239.77</v>
      </c>
    </row>
    <row r="83" spans="1:8" x14ac:dyDescent="0.25">
      <c r="A83">
        <v>1764249941</v>
      </c>
      <c r="B83">
        <v>-49.95</v>
      </c>
      <c r="C83" t="s">
        <v>82</v>
      </c>
      <c r="D83">
        <v>223.86</v>
      </c>
      <c r="E83" s="1">
        <f>motor_data_8screws_8bolts_evenly_distributed[[#This Row],[Time (s)]]-1764249896</f>
        <v>45</v>
      </c>
      <c r="H83">
        <f>motor_data_8screws_8bolts_evenly_distributed[[#This Row],[RPM]]*(-1)</f>
        <v>-223.86</v>
      </c>
    </row>
    <row r="84" spans="1:8" x14ac:dyDescent="0.25">
      <c r="A84">
        <v>1764249941</v>
      </c>
      <c r="B84">
        <v>-47.45</v>
      </c>
      <c r="C84" t="s">
        <v>83</v>
      </c>
      <c r="D84">
        <v>205.68</v>
      </c>
      <c r="E84" s="1">
        <f>motor_data_8screws_8bolts_evenly_distributed[[#This Row],[Time (s)]]-1764249896</f>
        <v>45</v>
      </c>
      <c r="H84">
        <f>motor_data_8screws_8bolts_evenly_distributed[[#This Row],[RPM]]*(-1)</f>
        <v>-205.68</v>
      </c>
    </row>
    <row r="85" spans="1:8" x14ac:dyDescent="0.25">
      <c r="A85">
        <v>1764249942</v>
      </c>
      <c r="B85">
        <v>-44.95</v>
      </c>
      <c r="C85" t="s">
        <v>84</v>
      </c>
      <c r="D85">
        <v>189.77</v>
      </c>
      <c r="E85" s="1">
        <f>motor_data_8screws_8bolts_evenly_distributed[[#This Row],[Time (s)]]-1764249896</f>
        <v>46</v>
      </c>
      <c r="H85">
        <f>motor_data_8screws_8bolts_evenly_distributed[[#This Row],[RPM]]*(-1)</f>
        <v>-189.77</v>
      </c>
    </row>
    <row r="86" spans="1:8" x14ac:dyDescent="0.25">
      <c r="A86">
        <v>1764249943</v>
      </c>
      <c r="B86">
        <v>-42.45</v>
      </c>
      <c r="C86" t="s">
        <v>85</v>
      </c>
      <c r="D86">
        <v>169.32</v>
      </c>
      <c r="E86" s="1">
        <f>motor_data_8screws_8bolts_evenly_distributed[[#This Row],[Time (s)]]-1764249896</f>
        <v>47</v>
      </c>
      <c r="H86">
        <f>motor_data_8screws_8bolts_evenly_distributed[[#This Row],[RPM]]*(-1)</f>
        <v>-169.32</v>
      </c>
    </row>
    <row r="87" spans="1:8" x14ac:dyDescent="0.25">
      <c r="A87">
        <v>1764249943</v>
      </c>
      <c r="B87">
        <v>-39.950000000000003</v>
      </c>
      <c r="C87" t="s">
        <v>86</v>
      </c>
      <c r="D87">
        <v>151.13999999999999</v>
      </c>
      <c r="E87" s="1">
        <f>motor_data_8screws_8bolts_evenly_distributed[[#This Row],[Time (s)]]-1764249896</f>
        <v>47</v>
      </c>
      <c r="H87">
        <f>motor_data_8screws_8bolts_evenly_distributed[[#This Row],[RPM]]*(-1)</f>
        <v>-151.13999999999999</v>
      </c>
    </row>
    <row r="88" spans="1:8" x14ac:dyDescent="0.25">
      <c r="A88">
        <v>1764249944</v>
      </c>
      <c r="B88">
        <v>-37.450000000000003</v>
      </c>
      <c r="C88" t="s">
        <v>87</v>
      </c>
      <c r="D88">
        <v>131.82</v>
      </c>
      <c r="E88" s="1">
        <f>motor_data_8screws_8bolts_evenly_distributed[[#This Row],[Time (s)]]-1764249896</f>
        <v>48</v>
      </c>
      <c r="H88">
        <f>motor_data_8screws_8bolts_evenly_distributed[[#This Row],[RPM]]*(-1)</f>
        <v>-131.82</v>
      </c>
    </row>
    <row r="89" spans="1:8" x14ac:dyDescent="0.25">
      <c r="A89">
        <v>1764249944</v>
      </c>
      <c r="B89">
        <v>-34.950000000000003</v>
      </c>
      <c r="C89" t="s">
        <v>88</v>
      </c>
      <c r="D89">
        <v>111.36</v>
      </c>
      <c r="E89" s="1">
        <f>motor_data_8screws_8bolts_evenly_distributed[[#This Row],[Time (s)]]-1764249896</f>
        <v>48</v>
      </c>
      <c r="H89">
        <f>motor_data_8screws_8bolts_evenly_distributed[[#This Row],[RPM]]*(-1)</f>
        <v>-111.36</v>
      </c>
    </row>
    <row r="90" spans="1:8" x14ac:dyDescent="0.25">
      <c r="A90">
        <v>1764249945</v>
      </c>
      <c r="B90">
        <v>-32.450000000000003</v>
      </c>
      <c r="C90" t="s">
        <v>89</v>
      </c>
      <c r="D90">
        <v>92.05</v>
      </c>
      <c r="E90" s="1">
        <f>motor_data_8screws_8bolts_evenly_distributed[[#This Row],[Time (s)]]-1764249896</f>
        <v>49</v>
      </c>
      <c r="H90">
        <f>motor_data_8screws_8bolts_evenly_distributed[[#This Row],[RPM]]*(-1)</f>
        <v>-92.05</v>
      </c>
    </row>
    <row r="91" spans="1:8" x14ac:dyDescent="0.25">
      <c r="A91">
        <v>1764249945</v>
      </c>
      <c r="B91">
        <v>-29.95</v>
      </c>
      <c r="C91" t="s">
        <v>90</v>
      </c>
      <c r="D91">
        <v>70.45</v>
      </c>
      <c r="E91" s="1">
        <f>motor_data_8screws_8bolts_evenly_distributed[[#This Row],[Time (s)]]-1764249896</f>
        <v>49</v>
      </c>
      <c r="H91">
        <f>motor_data_8screws_8bolts_evenly_distributed[[#This Row],[RPM]]*(-1)</f>
        <v>-70.45</v>
      </c>
    </row>
    <row r="92" spans="1:8" x14ac:dyDescent="0.25">
      <c r="A92">
        <v>1764249946</v>
      </c>
      <c r="B92">
        <v>-27.45</v>
      </c>
      <c r="C92" t="s">
        <v>91</v>
      </c>
      <c r="D92">
        <v>47.73</v>
      </c>
      <c r="E92" s="1">
        <f>motor_data_8screws_8bolts_evenly_distributed[[#This Row],[Time (s)]]-1764249896</f>
        <v>50</v>
      </c>
      <c r="H92">
        <f>motor_data_8screws_8bolts_evenly_distributed[[#This Row],[RPM]]*(-1)</f>
        <v>-47.73</v>
      </c>
    </row>
    <row r="93" spans="1:8" x14ac:dyDescent="0.25">
      <c r="A93">
        <v>1764249946</v>
      </c>
      <c r="B93">
        <v>-24.95</v>
      </c>
      <c r="C93" t="s">
        <v>92</v>
      </c>
      <c r="D93">
        <v>29.55</v>
      </c>
      <c r="E93" s="1">
        <f>motor_data_8screws_8bolts_evenly_distributed[[#This Row],[Time (s)]]-1764249896</f>
        <v>50</v>
      </c>
      <c r="H93">
        <f>motor_data_8screws_8bolts_evenly_distributed[[#This Row],[RPM]]*(-1)</f>
        <v>-29.55</v>
      </c>
    </row>
    <row r="94" spans="1:8" x14ac:dyDescent="0.25">
      <c r="A94">
        <v>1764249947</v>
      </c>
      <c r="B94">
        <v>-22.45</v>
      </c>
      <c r="C94" t="s">
        <v>93</v>
      </c>
      <c r="D94">
        <v>5.68</v>
      </c>
      <c r="E94" s="1">
        <f>motor_data_8screws_8bolts_evenly_distributed[[#This Row],[Time (s)]]-1764249896</f>
        <v>51</v>
      </c>
      <c r="H94">
        <f>motor_data_8screws_8bolts_evenly_distributed[[#This Row],[RPM]]*(-1)</f>
        <v>-5.68</v>
      </c>
    </row>
    <row r="95" spans="1:8" x14ac:dyDescent="0.25">
      <c r="A95">
        <v>1764249948</v>
      </c>
      <c r="B95">
        <v>-19.95</v>
      </c>
      <c r="C95" t="s">
        <v>94</v>
      </c>
      <c r="D95">
        <v>0</v>
      </c>
      <c r="E95" s="1">
        <f>motor_data_8screws_8bolts_evenly_distributed[[#This Row],[Time (s)]]-1764249896</f>
        <v>52</v>
      </c>
      <c r="H95">
        <f>motor_data_8screws_8bolts_evenly_distributed[[#This Row],[RPM]]</f>
        <v>0</v>
      </c>
    </row>
    <row r="96" spans="1:8" x14ac:dyDescent="0.25">
      <c r="A96">
        <v>1764249948</v>
      </c>
      <c r="B96">
        <v>-17.45</v>
      </c>
      <c r="C96" t="s">
        <v>94</v>
      </c>
      <c r="D96">
        <v>0</v>
      </c>
      <c r="E96" s="1">
        <f>motor_data_8screws_8bolts_evenly_distributed[[#This Row],[Time (s)]]-1764249896</f>
        <v>52</v>
      </c>
      <c r="H96">
        <f>motor_data_8screws_8bolts_evenly_distributed[[#This Row],[RPM]]</f>
        <v>0</v>
      </c>
    </row>
    <row r="97" spans="1:8" x14ac:dyDescent="0.25">
      <c r="A97">
        <v>1764249949</v>
      </c>
      <c r="B97">
        <v>-14.95</v>
      </c>
      <c r="C97" t="s">
        <v>94</v>
      </c>
      <c r="D97">
        <v>0</v>
      </c>
      <c r="E97" s="1">
        <f>motor_data_8screws_8bolts_evenly_distributed[[#This Row],[Time (s)]]-1764249896</f>
        <v>53</v>
      </c>
      <c r="H97">
        <f>motor_data_8screws_8bolts_evenly_distributed[[#This Row],[RPM]]</f>
        <v>0</v>
      </c>
    </row>
    <row r="98" spans="1:8" x14ac:dyDescent="0.25">
      <c r="A98">
        <v>1764249949</v>
      </c>
      <c r="B98">
        <v>-12.45</v>
      </c>
      <c r="C98" t="s">
        <v>94</v>
      </c>
      <c r="D98">
        <v>0</v>
      </c>
      <c r="E98" s="1">
        <f>motor_data_8screws_8bolts_evenly_distributed[[#This Row],[Time (s)]]-1764249896</f>
        <v>53</v>
      </c>
      <c r="H98">
        <f>motor_data_8screws_8bolts_evenly_distributed[[#This Row],[RPM]]</f>
        <v>0</v>
      </c>
    </row>
    <row r="99" spans="1:8" x14ac:dyDescent="0.25">
      <c r="A99">
        <v>1764249950</v>
      </c>
      <c r="B99">
        <v>-9.9499999999999993</v>
      </c>
      <c r="C99" t="s">
        <v>94</v>
      </c>
      <c r="D99">
        <v>0</v>
      </c>
      <c r="E99" s="1">
        <f>motor_data_8screws_8bolts_evenly_distributed[[#This Row],[Time (s)]]-1764249896</f>
        <v>54</v>
      </c>
      <c r="H99">
        <f>motor_data_8screws_8bolts_evenly_distributed[[#This Row],[RPM]]</f>
        <v>0</v>
      </c>
    </row>
    <row r="100" spans="1:8" x14ac:dyDescent="0.25">
      <c r="A100">
        <v>1764249950</v>
      </c>
      <c r="B100">
        <v>-7.45</v>
      </c>
      <c r="C100" t="s">
        <v>94</v>
      </c>
      <c r="D100">
        <v>0</v>
      </c>
      <c r="E100" s="1">
        <f>motor_data_8screws_8bolts_evenly_distributed[[#This Row],[Time (s)]]-1764249896</f>
        <v>54</v>
      </c>
      <c r="H100">
        <f>motor_data_8screws_8bolts_evenly_distributed[[#This Row],[RPM]]</f>
        <v>0</v>
      </c>
    </row>
    <row r="101" spans="1:8" x14ac:dyDescent="0.25">
      <c r="A101">
        <v>1764249951</v>
      </c>
      <c r="B101">
        <v>-4.95</v>
      </c>
      <c r="C101" t="s">
        <v>94</v>
      </c>
      <c r="D101">
        <v>0</v>
      </c>
      <c r="E101" s="1">
        <f>motor_data_8screws_8bolts_evenly_distributed[[#This Row],[Time (s)]]-1764249896</f>
        <v>55</v>
      </c>
      <c r="H101">
        <f>motor_data_8screws_8bolts_evenly_distributed[[#This Row],[RPM]]</f>
        <v>0</v>
      </c>
    </row>
    <row r="102" spans="1:8" x14ac:dyDescent="0.25">
      <c r="A102">
        <v>1764249951</v>
      </c>
      <c r="B102">
        <v>-2.4500000000000002</v>
      </c>
      <c r="C102" t="s">
        <v>94</v>
      </c>
      <c r="D102">
        <v>0</v>
      </c>
      <c r="E102" s="1">
        <f>motor_data_8screws_8bolts_evenly_distributed[[#This Row],[Time (s)]]-1764249896</f>
        <v>55</v>
      </c>
      <c r="H102">
        <f>motor_data_8screws_8bolts_evenly_distributed[[#This Row],[RPM]]</f>
        <v>0</v>
      </c>
    </row>
    <row r="103" spans="1:8" x14ac:dyDescent="0.25">
      <c r="A103">
        <v>1764249952</v>
      </c>
      <c r="B103">
        <v>0.05</v>
      </c>
      <c r="C103" t="s">
        <v>94</v>
      </c>
      <c r="D103">
        <v>0</v>
      </c>
      <c r="E103" s="1">
        <f>motor_data_8screws_8bolts_evenly_distributed[[#This Row],[Time (s)]]-1764249896</f>
        <v>56</v>
      </c>
      <c r="H103">
        <f>motor_data_8screws_8bolts_evenly_distributed[[#This Row],[RPM]]</f>
        <v>0</v>
      </c>
    </row>
    <row r="104" spans="1:8" x14ac:dyDescent="0.25">
      <c r="A104">
        <v>1764249952</v>
      </c>
      <c r="B104">
        <v>2.5499999999999998</v>
      </c>
      <c r="C104" t="s">
        <v>94</v>
      </c>
      <c r="D104">
        <v>0</v>
      </c>
      <c r="E104" s="1">
        <f>motor_data_8screws_8bolts_evenly_distributed[[#This Row],[Time (s)]]-1764249896</f>
        <v>56</v>
      </c>
      <c r="H104">
        <f>motor_data_8screws_8bolts_evenly_distributed[[#This Row],[RPM]]</f>
        <v>0</v>
      </c>
    </row>
    <row r="105" spans="1:8" x14ac:dyDescent="0.25">
      <c r="A105">
        <v>1764249953</v>
      </c>
      <c r="B105">
        <v>5.05</v>
      </c>
      <c r="C105" t="s">
        <v>94</v>
      </c>
      <c r="D105">
        <v>0</v>
      </c>
      <c r="E105" s="1">
        <f>motor_data_8screws_8bolts_evenly_distributed[[#This Row],[Time (s)]]-1764249896</f>
        <v>57</v>
      </c>
      <c r="H105">
        <f>motor_data_8screws_8bolts_evenly_distributed[[#This Row],[RPM]]</f>
        <v>0</v>
      </c>
    </row>
    <row r="106" spans="1:8" x14ac:dyDescent="0.25">
      <c r="A106">
        <v>1764249954</v>
      </c>
      <c r="B106">
        <v>7.55</v>
      </c>
      <c r="C106" t="s">
        <v>94</v>
      </c>
      <c r="D106">
        <v>0</v>
      </c>
      <c r="E106" s="1">
        <f>motor_data_8screws_8bolts_evenly_distributed[[#This Row],[Time (s)]]-1764249896</f>
        <v>58</v>
      </c>
      <c r="H106">
        <f>motor_data_8screws_8bolts_evenly_distributed[[#This Row],[RPM]]</f>
        <v>0</v>
      </c>
    </row>
    <row r="107" spans="1:8" x14ac:dyDescent="0.25">
      <c r="A107">
        <v>1764249954</v>
      </c>
      <c r="B107">
        <v>10.050000000000001</v>
      </c>
      <c r="C107" t="s">
        <v>94</v>
      </c>
      <c r="D107">
        <v>0</v>
      </c>
      <c r="E107" s="1">
        <f>motor_data_8screws_8bolts_evenly_distributed[[#This Row],[Time (s)]]-1764249896</f>
        <v>58</v>
      </c>
      <c r="H107">
        <f>motor_data_8screws_8bolts_evenly_distributed[[#This Row],[RPM]]</f>
        <v>0</v>
      </c>
    </row>
    <row r="108" spans="1:8" x14ac:dyDescent="0.25">
      <c r="A108">
        <v>1764249955</v>
      </c>
      <c r="B108">
        <v>12.55</v>
      </c>
      <c r="C108" t="s">
        <v>94</v>
      </c>
      <c r="D108">
        <v>0</v>
      </c>
      <c r="E108" s="1">
        <f>motor_data_8screws_8bolts_evenly_distributed[[#This Row],[Time (s)]]-1764249896</f>
        <v>59</v>
      </c>
      <c r="H108">
        <f>motor_data_8screws_8bolts_evenly_distributed[[#This Row],[RPM]]</f>
        <v>0</v>
      </c>
    </row>
    <row r="109" spans="1:8" x14ac:dyDescent="0.25">
      <c r="A109">
        <v>1764249955</v>
      </c>
      <c r="B109">
        <v>15.05</v>
      </c>
      <c r="C109" t="s">
        <v>94</v>
      </c>
      <c r="D109">
        <v>0</v>
      </c>
      <c r="E109" s="1">
        <f>motor_data_8screws_8bolts_evenly_distributed[[#This Row],[Time (s)]]-1764249896</f>
        <v>59</v>
      </c>
      <c r="H109">
        <f>motor_data_8screws_8bolts_evenly_distributed[[#This Row],[RPM]]</f>
        <v>0</v>
      </c>
    </row>
    <row r="110" spans="1:8" x14ac:dyDescent="0.25">
      <c r="A110">
        <v>1764249956</v>
      </c>
      <c r="B110">
        <v>17.55</v>
      </c>
      <c r="C110" t="s">
        <v>94</v>
      </c>
      <c r="D110">
        <v>0</v>
      </c>
      <c r="E110" s="1">
        <f>motor_data_8screws_8bolts_evenly_distributed[[#This Row],[Time (s)]]-1764249896</f>
        <v>60</v>
      </c>
      <c r="H110">
        <f>motor_data_8screws_8bolts_evenly_distributed[[#This Row],[RPM]]</f>
        <v>0</v>
      </c>
    </row>
    <row r="111" spans="1:8" x14ac:dyDescent="0.25">
      <c r="A111">
        <v>1764249956</v>
      </c>
      <c r="B111">
        <v>20.05</v>
      </c>
      <c r="C111" t="s">
        <v>94</v>
      </c>
      <c r="D111">
        <v>0</v>
      </c>
      <c r="E111" s="1">
        <f>motor_data_8screws_8bolts_evenly_distributed[[#This Row],[Time (s)]]-1764249896</f>
        <v>60</v>
      </c>
      <c r="H111">
        <f>motor_data_8screws_8bolts_evenly_distributed[[#This Row],[RPM]]</f>
        <v>0</v>
      </c>
    </row>
    <row r="112" spans="1:8" x14ac:dyDescent="0.25">
      <c r="A112">
        <v>1764249957</v>
      </c>
      <c r="B112">
        <v>22.55</v>
      </c>
      <c r="C112" t="s">
        <v>94</v>
      </c>
      <c r="D112">
        <v>0</v>
      </c>
      <c r="E112" s="1">
        <f>motor_data_8screws_8bolts_evenly_distributed[[#This Row],[Time (s)]]-1764249896</f>
        <v>61</v>
      </c>
      <c r="H112">
        <f>motor_data_8screws_8bolts_evenly_distributed[[#This Row],[RPM]]</f>
        <v>0</v>
      </c>
    </row>
    <row r="113" spans="1:8" x14ac:dyDescent="0.25">
      <c r="A113">
        <v>1764249957</v>
      </c>
      <c r="B113">
        <v>25.05</v>
      </c>
      <c r="C113" t="s">
        <v>94</v>
      </c>
      <c r="D113">
        <v>0</v>
      </c>
      <c r="E113" s="1">
        <f>motor_data_8screws_8bolts_evenly_distributed[[#This Row],[Time (s)]]-1764249896</f>
        <v>61</v>
      </c>
      <c r="H113">
        <f>motor_data_8screws_8bolts_evenly_distributed[[#This Row],[RPM]]</f>
        <v>0</v>
      </c>
    </row>
    <row r="114" spans="1:8" x14ac:dyDescent="0.25">
      <c r="A114">
        <v>1764249958</v>
      </c>
      <c r="B114">
        <v>27.55</v>
      </c>
      <c r="C114" t="s">
        <v>95</v>
      </c>
      <c r="D114">
        <v>1.1399999999999999</v>
      </c>
      <c r="E114" s="1">
        <f>motor_data_8screws_8bolts_evenly_distributed[[#This Row],[Time (s)]]-1764249896</f>
        <v>62</v>
      </c>
      <c r="H114">
        <f>motor_data_8screws_8bolts_evenly_distributed[[#This Row],[RPM]]</f>
        <v>1.1399999999999999</v>
      </c>
    </row>
    <row r="115" spans="1:8" x14ac:dyDescent="0.25">
      <c r="A115">
        <v>1764249958</v>
      </c>
      <c r="B115">
        <v>30.05</v>
      </c>
      <c r="C115" t="s">
        <v>94</v>
      </c>
      <c r="D115">
        <v>0</v>
      </c>
      <c r="E115" s="1">
        <f>motor_data_8screws_8bolts_evenly_distributed[[#This Row],[Time (s)]]-1764249896</f>
        <v>62</v>
      </c>
      <c r="H115">
        <f>motor_data_8screws_8bolts_evenly_distributed[[#This Row],[RPM]]</f>
        <v>0</v>
      </c>
    </row>
    <row r="116" spans="1:8" x14ac:dyDescent="0.25">
      <c r="A116">
        <v>1764249959</v>
      </c>
      <c r="B116">
        <v>32.549999999999997</v>
      </c>
      <c r="C116" t="s">
        <v>94</v>
      </c>
      <c r="D116">
        <v>0</v>
      </c>
      <c r="E116" s="1">
        <f>motor_data_8screws_8bolts_evenly_distributed[[#This Row],[Time (s)]]-1764249896</f>
        <v>63</v>
      </c>
      <c r="H116">
        <f>motor_data_8screws_8bolts_evenly_distributed[[#This Row],[RPM]]</f>
        <v>0</v>
      </c>
    </row>
    <row r="117" spans="1:8" x14ac:dyDescent="0.25">
      <c r="A117">
        <v>1764249960</v>
      </c>
      <c r="B117">
        <v>35.049999999999997</v>
      </c>
      <c r="C117" t="s">
        <v>94</v>
      </c>
      <c r="D117">
        <v>0</v>
      </c>
      <c r="E117" s="1">
        <f>motor_data_8screws_8bolts_evenly_distributed[[#This Row],[Time (s)]]-1764249896</f>
        <v>64</v>
      </c>
      <c r="H117">
        <f>motor_data_8screws_8bolts_evenly_distributed[[#This Row],[RPM]]</f>
        <v>0</v>
      </c>
    </row>
    <row r="118" spans="1:8" x14ac:dyDescent="0.25">
      <c r="A118">
        <v>1764249960</v>
      </c>
      <c r="B118">
        <v>37.549999999999997</v>
      </c>
      <c r="C118" t="s">
        <v>94</v>
      </c>
      <c r="D118">
        <v>0</v>
      </c>
      <c r="E118" s="1">
        <f>motor_data_8screws_8bolts_evenly_distributed[[#This Row],[Time (s)]]-1764249896</f>
        <v>64</v>
      </c>
      <c r="H118">
        <f>motor_data_8screws_8bolts_evenly_distributed[[#This Row],[RPM]]</f>
        <v>0</v>
      </c>
    </row>
    <row r="119" spans="1:8" x14ac:dyDescent="0.25">
      <c r="A119">
        <v>1764249961</v>
      </c>
      <c r="B119">
        <v>40.049999999999997</v>
      </c>
      <c r="C119" t="s">
        <v>95</v>
      </c>
      <c r="D119">
        <v>1.1399999999999999</v>
      </c>
      <c r="E119" s="1">
        <f>motor_data_8screws_8bolts_evenly_distributed[[#This Row],[Time (s)]]-1764249896</f>
        <v>65</v>
      </c>
      <c r="H119">
        <f>motor_data_8screws_8bolts_evenly_distributed[[#This Row],[RPM]]</f>
        <v>1.1399999999999999</v>
      </c>
    </row>
    <row r="120" spans="1:8" x14ac:dyDescent="0.25">
      <c r="A120">
        <v>1764249961</v>
      </c>
      <c r="B120">
        <v>42.55</v>
      </c>
      <c r="C120" t="s">
        <v>96</v>
      </c>
      <c r="D120">
        <v>20.45</v>
      </c>
      <c r="E120" s="1">
        <f>motor_data_8screws_8bolts_evenly_distributed[[#This Row],[Time (s)]]-1764249896</f>
        <v>65</v>
      </c>
      <c r="H120">
        <f>motor_data_8screws_8bolts_evenly_distributed[[#This Row],[RPM]]</f>
        <v>20.45</v>
      </c>
    </row>
    <row r="121" spans="1:8" x14ac:dyDescent="0.25">
      <c r="A121">
        <v>1764249962</v>
      </c>
      <c r="B121">
        <v>45.05</v>
      </c>
      <c r="C121" t="s">
        <v>97</v>
      </c>
      <c r="D121">
        <v>45.45</v>
      </c>
      <c r="E121" s="1">
        <f>motor_data_8screws_8bolts_evenly_distributed[[#This Row],[Time (s)]]-1764249896</f>
        <v>66</v>
      </c>
      <c r="H121">
        <f>motor_data_8screws_8bolts_evenly_distributed[[#This Row],[RPM]]</f>
        <v>45.45</v>
      </c>
    </row>
    <row r="122" spans="1:8" x14ac:dyDescent="0.25">
      <c r="A122">
        <v>1764249962</v>
      </c>
      <c r="B122">
        <v>47.55</v>
      </c>
      <c r="C122" t="s">
        <v>98</v>
      </c>
      <c r="D122">
        <v>68.180000000000007</v>
      </c>
      <c r="E122" s="1">
        <f>motor_data_8screws_8bolts_evenly_distributed[[#This Row],[Time (s)]]-1764249896</f>
        <v>66</v>
      </c>
      <c r="H122">
        <f>motor_data_8screws_8bolts_evenly_distributed[[#This Row],[RPM]]</f>
        <v>68.180000000000007</v>
      </c>
    </row>
    <row r="123" spans="1:8" x14ac:dyDescent="0.25">
      <c r="A123">
        <v>1764249963</v>
      </c>
      <c r="B123">
        <v>50.05</v>
      </c>
      <c r="C123" t="s">
        <v>99</v>
      </c>
      <c r="D123">
        <v>89.77</v>
      </c>
      <c r="E123" s="1">
        <f>motor_data_8screws_8bolts_evenly_distributed[[#This Row],[Time (s)]]-1764249896</f>
        <v>67</v>
      </c>
      <c r="H123">
        <f>motor_data_8screws_8bolts_evenly_distributed[[#This Row],[RPM]]</f>
        <v>89.77</v>
      </c>
    </row>
    <row r="124" spans="1:8" x14ac:dyDescent="0.25">
      <c r="A124">
        <v>1764249963</v>
      </c>
      <c r="B124">
        <v>52.55</v>
      </c>
      <c r="C124" t="s">
        <v>100</v>
      </c>
      <c r="D124">
        <v>113.64</v>
      </c>
      <c r="E124" s="1">
        <f>motor_data_8screws_8bolts_evenly_distributed[[#This Row],[Time (s)]]-1764249896</f>
        <v>67</v>
      </c>
      <c r="H124">
        <f>motor_data_8screws_8bolts_evenly_distributed[[#This Row],[RPM]]</f>
        <v>113.64</v>
      </c>
    </row>
    <row r="125" spans="1:8" x14ac:dyDescent="0.25">
      <c r="A125">
        <v>1764249964</v>
      </c>
      <c r="B125">
        <v>55.05</v>
      </c>
      <c r="C125" t="s">
        <v>101</v>
      </c>
      <c r="D125">
        <v>134.09</v>
      </c>
      <c r="E125" s="1">
        <f>motor_data_8screws_8bolts_evenly_distributed[[#This Row],[Time (s)]]-1764249896</f>
        <v>68</v>
      </c>
      <c r="H125">
        <f>motor_data_8screws_8bolts_evenly_distributed[[#This Row],[RPM]]</f>
        <v>134.09</v>
      </c>
    </row>
    <row r="126" spans="1:8" x14ac:dyDescent="0.25">
      <c r="A126">
        <v>1764249965</v>
      </c>
      <c r="B126">
        <v>57.55</v>
      </c>
      <c r="C126" t="s">
        <v>102</v>
      </c>
      <c r="D126">
        <v>156.82</v>
      </c>
      <c r="E126" s="1">
        <f>motor_data_8screws_8bolts_evenly_distributed[[#This Row],[Time (s)]]-1764249896</f>
        <v>69</v>
      </c>
      <c r="H126">
        <f>motor_data_8screws_8bolts_evenly_distributed[[#This Row],[RPM]]</f>
        <v>156.82</v>
      </c>
    </row>
    <row r="127" spans="1:8" x14ac:dyDescent="0.25">
      <c r="A127">
        <v>1764249965</v>
      </c>
      <c r="B127">
        <v>60.05</v>
      </c>
      <c r="C127" t="s">
        <v>103</v>
      </c>
      <c r="D127">
        <v>176.14</v>
      </c>
      <c r="E127" s="1">
        <f>motor_data_8screws_8bolts_evenly_distributed[[#This Row],[Time (s)]]-1764249896</f>
        <v>69</v>
      </c>
      <c r="H127">
        <f>motor_data_8screws_8bolts_evenly_distributed[[#This Row],[RPM]]</f>
        <v>176.14</v>
      </c>
    </row>
    <row r="128" spans="1:8" x14ac:dyDescent="0.25">
      <c r="A128">
        <v>1764249966</v>
      </c>
      <c r="B128">
        <v>62.55</v>
      </c>
      <c r="C128" t="s">
        <v>104</v>
      </c>
      <c r="D128">
        <v>194.32</v>
      </c>
      <c r="E128" s="1">
        <f>motor_data_8screws_8bolts_evenly_distributed[[#This Row],[Time (s)]]-1764249896</f>
        <v>70</v>
      </c>
      <c r="H128">
        <f>motor_data_8screws_8bolts_evenly_distributed[[#This Row],[RPM]]</f>
        <v>194.32</v>
      </c>
    </row>
    <row r="129" spans="1:8" x14ac:dyDescent="0.25">
      <c r="A129">
        <v>1764249966</v>
      </c>
      <c r="B129">
        <v>65.05</v>
      </c>
      <c r="C129" t="s">
        <v>105</v>
      </c>
      <c r="D129">
        <v>213.64</v>
      </c>
      <c r="E129" s="1">
        <f>motor_data_8screws_8bolts_evenly_distributed[[#This Row],[Time (s)]]-1764249896</f>
        <v>70</v>
      </c>
      <c r="H129">
        <f>motor_data_8screws_8bolts_evenly_distributed[[#This Row],[RPM]]</f>
        <v>213.64</v>
      </c>
    </row>
    <row r="130" spans="1:8" x14ac:dyDescent="0.25">
      <c r="A130">
        <v>1764249967</v>
      </c>
      <c r="B130">
        <v>67.55</v>
      </c>
      <c r="C130" t="s">
        <v>106</v>
      </c>
      <c r="D130">
        <v>232.95</v>
      </c>
      <c r="E130" s="1">
        <f>motor_data_8screws_8bolts_evenly_distributed[[#This Row],[Time (s)]]-1764249896</f>
        <v>71</v>
      </c>
      <c r="H130">
        <f>motor_data_8screws_8bolts_evenly_distributed[[#This Row],[RPM]]</f>
        <v>232.95</v>
      </c>
    </row>
    <row r="131" spans="1:8" x14ac:dyDescent="0.25">
      <c r="A131">
        <v>1764249967</v>
      </c>
      <c r="B131">
        <v>70.05</v>
      </c>
      <c r="C131" t="s">
        <v>107</v>
      </c>
      <c r="D131">
        <v>251.14</v>
      </c>
      <c r="E131" s="1">
        <f>motor_data_8screws_8bolts_evenly_distributed[[#This Row],[Time (s)]]-1764249896</f>
        <v>71</v>
      </c>
      <c r="H131">
        <f>motor_data_8screws_8bolts_evenly_distributed[[#This Row],[RPM]]</f>
        <v>251.14</v>
      </c>
    </row>
    <row r="132" spans="1:8" x14ac:dyDescent="0.25">
      <c r="A132">
        <v>1764249968</v>
      </c>
      <c r="B132">
        <v>72.55</v>
      </c>
      <c r="C132" t="s">
        <v>108</v>
      </c>
      <c r="D132">
        <v>269.32</v>
      </c>
      <c r="E132" s="1">
        <f>motor_data_8screws_8bolts_evenly_distributed[[#This Row],[Time (s)]]-1764249896</f>
        <v>72</v>
      </c>
      <c r="H132">
        <f>motor_data_8screws_8bolts_evenly_distributed[[#This Row],[RPM]]</f>
        <v>269.32</v>
      </c>
    </row>
    <row r="133" spans="1:8" x14ac:dyDescent="0.25">
      <c r="A133">
        <v>1764249968</v>
      </c>
      <c r="B133">
        <v>75.05</v>
      </c>
      <c r="C133" t="s">
        <v>109</v>
      </c>
      <c r="D133">
        <v>286.36</v>
      </c>
      <c r="E133" s="1">
        <f>motor_data_8screws_8bolts_evenly_distributed[[#This Row],[Time (s)]]-1764249896</f>
        <v>72</v>
      </c>
      <c r="H133">
        <f>motor_data_8screws_8bolts_evenly_distributed[[#This Row],[RPM]]</f>
        <v>286.36</v>
      </c>
    </row>
    <row r="134" spans="1:8" x14ac:dyDescent="0.25">
      <c r="A134">
        <v>1764249969</v>
      </c>
      <c r="B134">
        <v>77.55</v>
      </c>
      <c r="C134" t="s">
        <v>77</v>
      </c>
      <c r="D134">
        <v>303.41000000000003</v>
      </c>
      <c r="E134" s="1">
        <f>motor_data_8screws_8bolts_evenly_distributed[[#This Row],[Time (s)]]-1764249896</f>
        <v>73</v>
      </c>
      <c r="H134">
        <f>motor_data_8screws_8bolts_evenly_distributed[[#This Row],[RPM]]</f>
        <v>303.41000000000003</v>
      </c>
    </row>
    <row r="135" spans="1:8" x14ac:dyDescent="0.25">
      <c r="A135">
        <v>1764249969</v>
      </c>
      <c r="B135">
        <v>80.05</v>
      </c>
      <c r="C135" t="s">
        <v>76</v>
      </c>
      <c r="D135">
        <v>318.18</v>
      </c>
      <c r="E135" s="1">
        <f>motor_data_8screws_8bolts_evenly_distributed[[#This Row],[Time (s)]]-1764249896</f>
        <v>73</v>
      </c>
      <c r="H135">
        <f>motor_data_8screws_8bolts_evenly_distributed[[#This Row],[RPM]]</f>
        <v>318.18</v>
      </c>
    </row>
    <row r="136" spans="1:8" x14ac:dyDescent="0.25">
      <c r="A136">
        <v>1764249970</v>
      </c>
      <c r="B136">
        <v>82.55</v>
      </c>
      <c r="C136" t="s">
        <v>110</v>
      </c>
      <c r="D136">
        <v>332.95</v>
      </c>
      <c r="E136" s="1">
        <f>motor_data_8screws_8bolts_evenly_distributed[[#This Row],[Time (s)]]-1764249896</f>
        <v>74</v>
      </c>
      <c r="H136">
        <f>motor_data_8screws_8bolts_evenly_distributed[[#This Row],[RPM]]</f>
        <v>332.95</v>
      </c>
    </row>
    <row r="137" spans="1:8" x14ac:dyDescent="0.25">
      <c r="A137">
        <v>1764249971</v>
      </c>
      <c r="B137">
        <v>85.05</v>
      </c>
      <c r="C137" t="s">
        <v>111</v>
      </c>
      <c r="D137">
        <v>345.45</v>
      </c>
      <c r="E137" s="1">
        <f>motor_data_8screws_8bolts_evenly_distributed[[#This Row],[Time (s)]]-1764249896</f>
        <v>75</v>
      </c>
      <c r="H137">
        <f>motor_data_8screws_8bolts_evenly_distributed[[#This Row],[RPM]]</f>
        <v>345.45</v>
      </c>
    </row>
    <row r="138" spans="1:8" x14ac:dyDescent="0.25">
      <c r="A138">
        <v>1764249971</v>
      </c>
      <c r="B138">
        <v>87.55</v>
      </c>
      <c r="C138" t="s">
        <v>112</v>
      </c>
      <c r="D138">
        <v>360.23</v>
      </c>
      <c r="E138" s="1">
        <f>motor_data_8screws_8bolts_evenly_distributed[[#This Row],[Time (s)]]-1764249896</f>
        <v>75</v>
      </c>
      <c r="H138">
        <f>motor_data_8screws_8bolts_evenly_distributed[[#This Row],[RPM]]</f>
        <v>360.23</v>
      </c>
    </row>
    <row r="139" spans="1:8" x14ac:dyDescent="0.25">
      <c r="A139">
        <v>1764249972</v>
      </c>
      <c r="B139">
        <v>90.05</v>
      </c>
      <c r="C139" t="s">
        <v>113</v>
      </c>
      <c r="D139">
        <v>371.59</v>
      </c>
      <c r="E139" s="1">
        <f>motor_data_8screws_8bolts_evenly_distributed[[#This Row],[Time (s)]]-1764249896</f>
        <v>76</v>
      </c>
      <c r="H139">
        <f>motor_data_8screws_8bolts_evenly_distributed[[#This Row],[RPM]]</f>
        <v>371.59</v>
      </c>
    </row>
    <row r="140" spans="1:8" x14ac:dyDescent="0.25">
      <c r="A140">
        <v>1764249972</v>
      </c>
      <c r="B140">
        <v>92.55</v>
      </c>
      <c r="C140" t="s">
        <v>114</v>
      </c>
      <c r="D140">
        <v>382.95</v>
      </c>
      <c r="E140" s="1">
        <f>motor_data_8screws_8bolts_evenly_distributed[[#This Row],[Time (s)]]-1764249896</f>
        <v>76</v>
      </c>
      <c r="H140">
        <f>motor_data_8screws_8bolts_evenly_distributed[[#This Row],[RPM]]</f>
        <v>382.95</v>
      </c>
    </row>
    <row r="141" spans="1:8" x14ac:dyDescent="0.25">
      <c r="A141">
        <v>1764249973</v>
      </c>
      <c r="B141">
        <v>95.05</v>
      </c>
      <c r="C141" t="s">
        <v>115</v>
      </c>
      <c r="D141">
        <v>393.18</v>
      </c>
      <c r="E141" s="1">
        <f>motor_data_8screws_8bolts_evenly_distributed[[#This Row],[Time (s)]]-1764249896</f>
        <v>77</v>
      </c>
      <c r="H141">
        <f>motor_data_8screws_8bolts_evenly_distributed[[#This Row],[RPM]]</f>
        <v>393.18</v>
      </c>
    </row>
    <row r="142" spans="1:8" x14ac:dyDescent="0.25">
      <c r="A142">
        <v>1764249973</v>
      </c>
      <c r="B142">
        <v>97.55</v>
      </c>
      <c r="C142" t="s">
        <v>116</v>
      </c>
      <c r="D142">
        <v>404.55</v>
      </c>
      <c r="E142" s="1">
        <f>motor_data_8screws_8bolts_evenly_distributed[[#This Row],[Time (s)]]-1764249896</f>
        <v>77</v>
      </c>
      <c r="H142">
        <f>motor_data_8screws_8bolts_evenly_distributed[[#This Row],[RPM]]</f>
        <v>404.55</v>
      </c>
    </row>
    <row r="143" spans="1:8" x14ac:dyDescent="0.25">
      <c r="A143">
        <v>1764249974</v>
      </c>
      <c r="B143">
        <v>100.05</v>
      </c>
      <c r="C143" t="s">
        <v>117</v>
      </c>
      <c r="D143">
        <v>415.91</v>
      </c>
      <c r="E143" s="1">
        <f>motor_data_8screws_8bolts_evenly_distributed[[#This Row],[Time (s)]]-1764249896</f>
        <v>78</v>
      </c>
      <c r="H143">
        <f>motor_data_8screws_8bolts_evenly_distributed[[#This Row],[RPM]]</f>
        <v>415.91</v>
      </c>
    </row>
    <row r="144" spans="1:8" x14ac:dyDescent="0.25">
      <c r="A144">
        <v>1764249974</v>
      </c>
      <c r="B144">
        <v>102.55</v>
      </c>
      <c r="C144" t="s">
        <v>66</v>
      </c>
      <c r="D144">
        <v>429.55</v>
      </c>
      <c r="E144" s="1">
        <f>motor_data_8screws_8bolts_evenly_distributed[[#This Row],[Time (s)]]-1764249896</f>
        <v>78</v>
      </c>
      <c r="H144">
        <f>motor_data_8screws_8bolts_evenly_distributed[[#This Row],[RPM]]</f>
        <v>429.55</v>
      </c>
    </row>
    <row r="145" spans="1:8" x14ac:dyDescent="0.25">
      <c r="A145">
        <v>1764249975</v>
      </c>
      <c r="B145">
        <v>105.05</v>
      </c>
      <c r="C145" t="s">
        <v>118</v>
      </c>
      <c r="D145">
        <v>438.64</v>
      </c>
      <c r="E145" s="1">
        <f>motor_data_8screws_8bolts_evenly_distributed[[#This Row],[Time (s)]]-1764249896</f>
        <v>79</v>
      </c>
      <c r="H145">
        <f>motor_data_8screws_8bolts_evenly_distributed[[#This Row],[RPM]]</f>
        <v>438.64</v>
      </c>
    </row>
    <row r="146" spans="1:8" x14ac:dyDescent="0.25">
      <c r="A146">
        <v>1764249976</v>
      </c>
      <c r="B146">
        <v>107.55</v>
      </c>
      <c r="C146" t="s">
        <v>119</v>
      </c>
      <c r="D146">
        <v>445.45</v>
      </c>
      <c r="E146" s="1">
        <f>motor_data_8screws_8bolts_evenly_distributed[[#This Row],[Time (s)]]-1764249896</f>
        <v>80</v>
      </c>
      <c r="H146">
        <f>motor_data_8screws_8bolts_evenly_distributed[[#This Row],[RPM]]</f>
        <v>445.45</v>
      </c>
    </row>
    <row r="147" spans="1:8" x14ac:dyDescent="0.25">
      <c r="A147">
        <v>1764249976</v>
      </c>
      <c r="B147">
        <v>110.05</v>
      </c>
      <c r="C147" t="s">
        <v>120</v>
      </c>
      <c r="D147">
        <v>453.41</v>
      </c>
      <c r="E147" s="1">
        <f>motor_data_8screws_8bolts_evenly_distributed[[#This Row],[Time (s)]]-1764249896</f>
        <v>80</v>
      </c>
      <c r="H147">
        <f>motor_data_8screws_8bolts_evenly_distributed[[#This Row],[RPM]]</f>
        <v>453.41</v>
      </c>
    </row>
    <row r="148" spans="1:8" x14ac:dyDescent="0.25">
      <c r="A148">
        <v>1764249977</v>
      </c>
      <c r="B148">
        <v>112.55</v>
      </c>
      <c r="C148" t="s">
        <v>121</v>
      </c>
      <c r="D148">
        <v>461.36</v>
      </c>
      <c r="E148" s="1">
        <f>motor_data_8screws_8bolts_evenly_distributed[[#This Row],[Time (s)]]-1764249896</f>
        <v>81</v>
      </c>
      <c r="H148">
        <f>motor_data_8screws_8bolts_evenly_distributed[[#This Row],[RPM]]</f>
        <v>461.36</v>
      </c>
    </row>
    <row r="149" spans="1:8" x14ac:dyDescent="0.25">
      <c r="A149">
        <v>1764249977</v>
      </c>
      <c r="B149">
        <v>115.05</v>
      </c>
      <c r="C149" t="s">
        <v>122</v>
      </c>
      <c r="D149">
        <v>469.32</v>
      </c>
      <c r="E149" s="1">
        <f>motor_data_8screws_8bolts_evenly_distributed[[#This Row],[Time (s)]]-1764249896</f>
        <v>81</v>
      </c>
      <c r="H149">
        <f>motor_data_8screws_8bolts_evenly_distributed[[#This Row],[RPM]]</f>
        <v>469.32</v>
      </c>
    </row>
    <row r="150" spans="1:8" x14ac:dyDescent="0.25">
      <c r="A150">
        <v>1764249978</v>
      </c>
      <c r="B150">
        <v>117.55</v>
      </c>
      <c r="C150" t="s">
        <v>123</v>
      </c>
      <c r="D150">
        <v>476.14</v>
      </c>
      <c r="E150" s="1">
        <f>motor_data_8screws_8bolts_evenly_distributed[[#This Row],[Time (s)]]-1764249896</f>
        <v>82</v>
      </c>
      <c r="H150">
        <f>motor_data_8screws_8bolts_evenly_distributed[[#This Row],[RPM]]</f>
        <v>476.14</v>
      </c>
    </row>
    <row r="151" spans="1:8" x14ac:dyDescent="0.25">
      <c r="A151">
        <v>1764249978</v>
      </c>
      <c r="B151">
        <v>120.05</v>
      </c>
      <c r="C151" t="s">
        <v>124</v>
      </c>
      <c r="D151">
        <v>484.09</v>
      </c>
      <c r="E151" s="1">
        <f>motor_data_8screws_8bolts_evenly_distributed[[#This Row],[Time (s)]]-1764249896</f>
        <v>82</v>
      </c>
      <c r="H151">
        <f>motor_data_8screws_8bolts_evenly_distributed[[#This Row],[RPM]]</f>
        <v>484.09</v>
      </c>
    </row>
    <row r="152" spans="1:8" x14ac:dyDescent="0.25">
      <c r="A152">
        <v>1764249979</v>
      </c>
      <c r="B152">
        <v>122.55</v>
      </c>
      <c r="C152" t="s">
        <v>125</v>
      </c>
      <c r="D152">
        <v>492.05</v>
      </c>
      <c r="E152" s="1">
        <f>motor_data_8screws_8bolts_evenly_distributed[[#This Row],[Time (s)]]-1764249896</f>
        <v>83</v>
      </c>
      <c r="H152">
        <f>motor_data_8screws_8bolts_evenly_distributed[[#This Row],[RPM]]</f>
        <v>492.05</v>
      </c>
    </row>
    <row r="153" spans="1:8" x14ac:dyDescent="0.25">
      <c r="A153">
        <v>1764249979</v>
      </c>
      <c r="B153">
        <v>125.05</v>
      </c>
      <c r="C153" t="s">
        <v>126</v>
      </c>
      <c r="D153">
        <v>495.45</v>
      </c>
      <c r="E153" s="1">
        <f>motor_data_8screws_8bolts_evenly_distributed[[#This Row],[Time (s)]]-1764249896</f>
        <v>83</v>
      </c>
      <c r="H153">
        <f>motor_data_8screws_8bolts_evenly_distributed[[#This Row],[RPM]]</f>
        <v>495.45</v>
      </c>
    </row>
    <row r="154" spans="1:8" x14ac:dyDescent="0.25">
      <c r="A154">
        <v>1764249980</v>
      </c>
      <c r="B154">
        <v>127.55</v>
      </c>
      <c r="C154" t="s">
        <v>127</v>
      </c>
      <c r="D154">
        <v>501.14</v>
      </c>
      <c r="E154" s="1">
        <f>motor_data_8screws_8bolts_evenly_distributed[[#This Row],[Time (s)]]-1764249896</f>
        <v>84</v>
      </c>
      <c r="H154">
        <f>motor_data_8screws_8bolts_evenly_distributed[[#This Row],[RPM]]</f>
        <v>501.14</v>
      </c>
    </row>
    <row r="155" spans="1:8" x14ac:dyDescent="0.25">
      <c r="A155">
        <v>1764249980</v>
      </c>
      <c r="B155">
        <v>130.05000000000001</v>
      </c>
      <c r="C155" t="s">
        <v>128</v>
      </c>
      <c r="D155">
        <v>507.95</v>
      </c>
      <c r="E155" s="1">
        <f>motor_data_8screws_8bolts_evenly_distributed[[#This Row],[Time (s)]]-1764249896</f>
        <v>84</v>
      </c>
      <c r="H155">
        <f>motor_data_8screws_8bolts_evenly_distributed[[#This Row],[RPM]]</f>
        <v>507.95</v>
      </c>
    </row>
    <row r="156" spans="1:8" x14ac:dyDescent="0.25">
      <c r="A156">
        <v>1764249981</v>
      </c>
      <c r="B156">
        <v>132.55000000000001</v>
      </c>
      <c r="C156" t="s">
        <v>129</v>
      </c>
      <c r="D156">
        <v>515.91</v>
      </c>
      <c r="E156" s="1">
        <f>motor_data_8screws_8bolts_evenly_distributed[[#This Row],[Time (s)]]-1764249896</f>
        <v>85</v>
      </c>
      <c r="H156">
        <f>motor_data_8screws_8bolts_evenly_distributed[[#This Row],[RPM]]</f>
        <v>515.91</v>
      </c>
    </row>
    <row r="157" spans="1:8" x14ac:dyDescent="0.25">
      <c r="A157">
        <v>1764249982</v>
      </c>
      <c r="B157">
        <v>135.05000000000001</v>
      </c>
      <c r="C157" t="s">
        <v>130</v>
      </c>
      <c r="D157">
        <v>522.73</v>
      </c>
      <c r="E157" s="1">
        <f>motor_data_8screws_8bolts_evenly_distributed[[#This Row],[Time (s)]]-1764249896</f>
        <v>86</v>
      </c>
      <c r="H157">
        <f>motor_data_8screws_8bolts_evenly_distributed[[#This Row],[RPM]]</f>
        <v>522.73</v>
      </c>
    </row>
    <row r="158" spans="1:8" x14ac:dyDescent="0.25">
      <c r="A158">
        <v>1764249982</v>
      </c>
      <c r="B158">
        <v>137.55000000000001</v>
      </c>
      <c r="C158" t="s">
        <v>131</v>
      </c>
      <c r="D158">
        <v>528.41</v>
      </c>
      <c r="E158" s="1">
        <f>motor_data_8screws_8bolts_evenly_distributed[[#This Row],[Time (s)]]-1764249896</f>
        <v>86</v>
      </c>
      <c r="H158">
        <f>motor_data_8screws_8bolts_evenly_distributed[[#This Row],[RPM]]</f>
        <v>528.41</v>
      </c>
    </row>
    <row r="159" spans="1:8" x14ac:dyDescent="0.25">
      <c r="A159">
        <v>1764249983</v>
      </c>
      <c r="B159">
        <v>140.05000000000001</v>
      </c>
      <c r="C159" t="s">
        <v>132</v>
      </c>
      <c r="D159">
        <v>531.82000000000005</v>
      </c>
      <c r="E159" s="1">
        <f>motor_data_8screws_8bolts_evenly_distributed[[#This Row],[Time (s)]]-1764249896</f>
        <v>87</v>
      </c>
      <c r="H159">
        <f>motor_data_8screws_8bolts_evenly_distributed[[#This Row],[RPM]]</f>
        <v>531.82000000000005</v>
      </c>
    </row>
    <row r="160" spans="1:8" x14ac:dyDescent="0.25">
      <c r="A160">
        <v>1764249983</v>
      </c>
      <c r="B160">
        <v>142.55000000000001</v>
      </c>
      <c r="C160" t="s">
        <v>50</v>
      </c>
      <c r="D160">
        <v>532.95000000000005</v>
      </c>
      <c r="E160" s="1">
        <f>motor_data_8screws_8bolts_evenly_distributed[[#This Row],[Time (s)]]-1764249896</f>
        <v>87</v>
      </c>
      <c r="H160">
        <f>motor_data_8screws_8bolts_evenly_distributed[[#This Row],[RPM]]</f>
        <v>532.95000000000005</v>
      </c>
    </row>
    <row r="161" spans="1:8" x14ac:dyDescent="0.25">
      <c r="A161">
        <v>1764249984</v>
      </c>
      <c r="B161">
        <v>145.05000000000001</v>
      </c>
      <c r="C161" t="s">
        <v>133</v>
      </c>
      <c r="D161">
        <v>536.36</v>
      </c>
      <c r="E161" s="1">
        <f>motor_data_8screws_8bolts_evenly_distributed[[#This Row],[Time (s)]]-1764249896</f>
        <v>88</v>
      </c>
      <c r="H161">
        <f>motor_data_8screws_8bolts_evenly_distributed[[#This Row],[RPM]]</f>
        <v>536.36</v>
      </c>
    </row>
    <row r="162" spans="1:8" x14ac:dyDescent="0.25">
      <c r="A162">
        <v>1764249984</v>
      </c>
      <c r="B162">
        <v>147.55000000000001</v>
      </c>
      <c r="C162" t="s">
        <v>134</v>
      </c>
      <c r="D162">
        <v>538.64</v>
      </c>
      <c r="E162" s="1">
        <f>motor_data_8screws_8bolts_evenly_distributed[[#This Row],[Time (s)]]-1764249896</f>
        <v>88</v>
      </c>
      <c r="H162">
        <f>motor_data_8screws_8bolts_evenly_distributed[[#This Row],[RPM]]</f>
        <v>538.64</v>
      </c>
    </row>
    <row r="163" spans="1:8" x14ac:dyDescent="0.25">
      <c r="A163">
        <v>1764249985</v>
      </c>
      <c r="B163">
        <v>150.05000000000001</v>
      </c>
      <c r="C163" t="s">
        <v>135</v>
      </c>
      <c r="D163">
        <v>544.32000000000005</v>
      </c>
      <c r="E163" s="1">
        <f>motor_data_8screws_8bolts_evenly_distributed[[#This Row],[Time (s)]]-1764249896</f>
        <v>89</v>
      </c>
      <c r="H163">
        <f>motor_data_8screws_8bolts_evenly_distributed[[#This Row],[RPM]]</f>
        <v>544.32000000000005</v>
      </c>
    </row>
    <row r="164" spans="1:8" x14ac:dyDescent="0.25">
      <c r="A164">
        <v>1764249985</v>
      </c>
      <c r="B164">
        <v>152.55000000000001</v>
      </c>
      <c r="C164" t="s">
        <v>47</v>
      </c>
      <c r="D164">
        <v>548.86</v>
      </c>
      <c r="E164" s="1">
        <f>motor_data_8screws_8bolts_evenly_distributed[[#This Row],[Time (s)]]-1764249896</f>
        <v>89</v>
      </c>
      <c r="H164">
        <f>motor_data_8screws_8bolts_evenly_distributed[[#This Row],[RPM]]</f>
        <v>548.86</v>
      </c>
    </row>
    <row r="165" spans="1:8" x14ac:dyDescent="0.25">
      <c r="A165">
        <v>1764249986</v>
      </c>
      <c r="B165">
        <v>155.05000000000001</v>
      </c>
      <c r="C165" t="s">
        <v>136</v>
      </c>
      <c r="D165">
        <v>552.27</v>
      </c>
      <c r="E165" s="1">
        <f>motor_data_8screws_8bolts_evenly_distributed[[#This Row],[Time (s)]]-1764249896</f>
        <v>90</v>
      </c>
      <c r="H165">
        <f>motor_data_8screws_8bolts_evenly_distributed[[#This Row],[RPM]]</f>
        <v>552.27</v>
      </c>
    </row>
    <row r="166" spans="1:8" x14ac:dyDescent="0.25">
      <c r="A166">
        <v>1764249987</v>
      </c>
      <c r="B166">
        <v>157.55000000000001</v>
      </c>
      <c r="C166" t="s">
        <v>45</v>
      </c>
      <c r="D166">
        <v>555.67999999999995</v>
      </c>
      <c r="E166" s="1">
        <f>motor_data_8screws_8bolts_evenly_distributed[[#This Row],[Time (s)]]-1764249896</f>
        <v>91</v>
      </c>
      <c r="H166">
        <f>motor_data_8screws_8bolts_evenly_distributed[[#This Row],[RPM]]</f>
        <v>555.67999999999995</v>
      </c>
    </row>
    <row r="167" spans="1:8" x14ac:dyDescent="0.25">
      <c r="A167">
        <v>1764249987</v>
      </c>
      <c r="B167">
        <v>160.05000000000001</v>
      </c>
      <c r="C167" t="s">
        <v>137</v>
      </c>
      <c r="D167">
        <v>563.64</v>
      </c>
      <c r="E167" s="1">
        <f>motor_data_8screws_8bolts_evenly_distributed[[#This Row],[Time (s)]]-1764249896</f>
        <v>91</v>
      </c>
      <c r="H167">
        <f>motor_data_8screws_8bolts_evenly_distributed[[#This Row],[RPM]]</f>
        <v>563.64</v>
      </c>
    </row>
    <row r="168" spans="1:8" x14ac:dyDescent="0.25">
      <c r="A168">
        <v>1764249988</v>
      </c>
      <c r="B168">
        <v>162.55000000000001</v>
      </c>
      <c r="C168" t="s">
        <v>138</v>
      </c>
      <c r="D168">
        <v>569.32000000000005</v>
      </c>
      <c r="E168" s="1">
        <f>motor_data_8screws_8bolts_evenly_distributed[[#This Row],[Time (s)]]-1764249896</f>
        <v>92</v>
      </c>
      <c r="H168">
        <f>motor_data_8screws_8bolts_evenly_distributed[[#This Row],[RPM]]</f>
        <v>569.32000000000005</v>
      </c>
    </row>
    <row r="169" spans="1:8" x14ac:dyDescent="0.25">
      <c r="A169">
        <v>1764249988</v>
      </c>
      <c r="B169">
        <v>165.05</v>
      </c>
      <c r="C169" t="s">
        <v>41</v>
      </c>
      <c r="D169">
        <v>571.59</v>
      </c>
      <c r="E169" s="1">
        <f>motor_data_8screws_8bolts_evenly_distributed[[#This Row],[Time (s)]]-1764249896</f>
        <v>92</v>
      </c>
      <c r="H169">
        <f>motor_data_8screws_8bolts_evenly_distributed[[#This Row],[RPM]]</f>
        <v>571.59</v>
      </c>
    </row>
    <row r="170" spans="1:8" x14ac:dyDescent="0.25">
      <c r="A170">
        <v>1764249989</v>
      </c>
      <c r="B170">
        <v>167.55</v>
      </c>
      <c r="C170" t="s">
        <v>39</v>
      </c>
      <c r="D170">
        <v>576.14</v>
      </c>
      <c r="E170" s="1">
        <f>motor_data_8screws_8bolts_evenly_distributed[[#This Row],[Time (s)]]-1764249896</f>
        <v>93</v>
      </c>
      <c r="H170">
        <f>motor_data_8screws_8bolts_evenly_distributed[[#This Row],[RPM]]</f>
        <v>576.14</v>
      </c>
    </row>
    <row r="171" spans="1:8" x14ac:dyDescent="0.25">
      <c r="A171">
        <v>1764249989</v>
      </c>
      <c r="B171">
        <v>170.05</v>
      </c>
      <c r="C171" t="s">
        <v>139</v>
      </c>
      <c r="D171">
        <v>578.41</v>
      </c>
      <c r="E171" s="1">
        <f>motor_data_8screws_8bolts_evenly_distributed[[#This Row],[Time (s)]]-1764249896</f>
        <v>93</v>
      </c>
      <c r="H171">
        <f>motor_data_8screws_8bolts_evenly_distributed[[#This Row],[RPM]]</f>
        <v>578.41</v>
      </c>
    </row>
    <row r="172" spans="1:8" x14ac:dyDescent="0.25">
      <c r="A172">
        <v>1764249990</v>
      </c>
      <c r="B172">
        <v>172.55</v>
      </c>
      <c r="C172" t="s">
        <v>37</v>
      </c>
      <c r="D172">
        <v>580.67999999999995</v>
      </c>
      <c r="E172" s="1">
        <f>motor_data_8screws_8bolts_evenly_distributed[[#This Row],[Time (s)]]-1764249896</f>
        <v>94</v>
      </c>
      <c r="H172">
        <f>motor_data_8screws_8bolts_evenly_distributed[[#This Row],[RPM]]</f>
        <v>580.67999999999995</v>
      </c>
    </row>
    <row r="173" spans="1:8" x14ac:dyDescent="0.25">
      <c r="A173">
        <v>1764249990</v>
      </c>
      <c r="B173">
        <v>175.05</v>
      </c>
      <c r="C173" t="s">
        <v>140</v>
      </c>
      <c r="D173">
        <v>581.82000000000005</v>
      </c>
      <c r="E173" s="1">
        <f>motor_data_8screws_8bolts_evenly_distributed[[#This Row],[Time (s)]]-1764249896</f>
        <v>94</v>
      </c>
      <c r="H173">
        <f>motor_data_8screws_8bolts_evenly_distributed[[#This Row],[RPM]]</f>
        <v>581.82000000000005</v>
      </c>
    </row>
    <row r="174" spans="1:8" x14ac:dyDescent="0.25">
      <c r="A174">
        <v>1764249991</v>
      </c>
      <c r="B174">
        <v>177.55</v>
      </c>
      <c r="C174" t="s">
        <v>35</v>
      </c>
      <c r="D174">
        <v>586.36</v>
      </c>
      <c r="E174" s="1">
        <f>motor_data_8screws_8bolts_evenly_distributed[[#This Row],[Time (s)]]-1764249896</f>
        <v>95</v>
      </c>
      <c r="H174">
        <f>motor_data_8screws_8bolts_evenly_distributed[[#This Row],[RPM]]</f>
        <v>586.36</v>
      </c>
    </row>
    <row r="175" spans="1:8" x14ac:dyDescent="0.25">
      <c r="A175">
        <v>1764249992</v>
      </c>
      <c r="B175">
        <v>180.05</v>
      </c>
      <c r="C175" t="s">
        <v>141</v>
      </c>
      <c r="D175">
        <v>590.91</v>
      </c>
      <c r="E175" s="1">
        <f>motor_data_8screws_8bolts_evenly_distributed[[#This Row],[Time (s)]]-1764249896</f>
        <v>96</v>
      </c>
      <c r="H175">
        <f>motor_data_8screws_8bolts_evenly_distributed[[#This Row],[RPM]]</f>
        <v>590.91</v>
      </c>
    </row>
    <row r="176" spans="1:8" x14ac:dyDescent="0.25">
      <c r="A176">
        <v>1764249992</v>
      </c>
      <c r="B176">
        <v>182.55</v>
      </c>
      <c r="C176" t="s">
        <v>142</v>
      </c>
      <c r="D176">
        <v>593.17999999999995</v>
      </c>
      <c r="E176" s="1">
        <f>motor_data_8screws_8bolts_evenly_distributed[[#This Row],[Time (s)]]-1764249896</f>
        <v>96</v>
      </c>
      <c r="H176">
        <f>motor_data_8screws_8bolts_evenly_distributed[[#This Row],[RPM]]</f>
        <v>593.17999999999995</v>
      </c>
    </row>
    <row r="177" spans="1:8" x14ac:dyDescent="0.25">
      <c r="A177">
        <v>1764249993</v>
      </c>
      <c r="B177">
        <v>185.05</v>
      </c>
      <c r="C177" t="s">
        <v>31</v>
      </c>
      <c r="D177">
        <v>597.73</v>
      </c>
      <c r="E177" s="1">
        <f>motor_data_8screws_8bolts_evenly_distributed[[#This Row],[Time (s)]]-1764249896</f>
        <v>97</v>
      </c>
      <c r="H177">
        <f>motor_data_8screws_8bolts_evenly_distributed[[#This Row],[RPM]]</f>
        <v>597.73</v>
      </c>
    </row>
    <row r="178" spans="1:8" x14ac:dyDescent="0.25">
      <c r="A178">
        <v>1764249993</v>
      </c>
      <c r="B178">
        <v>187.55</v>
      </c>
      <c r="C178" t="s">
        <v>143</v>
      </c>
      <c r="D178">
        <v>598.86</v>
      </c>
      <c r="E178" s="1">
        <f>motor_data_8screws_8bolts_evenly_distributed[[#This Row],[Time (s)]]-1764249896</f>
        <v>97</v>
      </c>
      <c r="H178">
        <f>motor_data_8screws_8bolts_evenly_distributed[[#This Row],[RPM]]</f>
        <v>598.86</v>
      </c>
    </row>
    <row r="179" spans="1:8" x14ac:dyDescent="0.25">
      <c r="A179">
        <v>1764249994</v>
      </c>
      <c r="B179">
        <v>190.05</v>
      </c>
      <c r="C179" t="s">
        <v>144</v>
      </c>
      <c r="D179">
        <v>601.14</v>
      </c>
      <c r="E179" s="1">
        <f>motor_data_8screws_8bolts_evenly_distributed[[#This Row],[Time (s)]]-1764249896</f>
        <v>98</v>
      </c>
      <c r="H179">
        <f>motor_data_8screws_8bolts_evenly_distributed[[#This Row],[RPM]]</f>
        <v>601.14</v>
      </c>
    </row>
    <row r="180" spans="1:8" x14ac:dyDescent="0.25">
      <c r="A180">
        <v>1764249994</v>
      </c>
      <c r="B180">
        <v>192.55</v>
      </c>
      <c r="C180" t="s">
        <v>145</v>
      </c>
      <c r="D180">
        <v>603.41</v>
      </c>
      <c r="E180" s="1">
        <f>motor_data_8screws_8bolts_evenly_distributed[[#This Row],[Time (s)]]-1764249896</f>
        <v>98</v>
      </c>
      <c r="H180">
        <f>motor_data_8screws_8bolts_evenly_distributed[[#This Row],[RPM]]</f>
        <v>603.41</v>
      </c>
    </row>
    <row r="181" spans="1:8" x14ac:dyDescent="0.25">
      <c r="A181">
        <v>1764249995</v>
      </c>
      <c r="B181">
        <v>195.05</v>
      </c>
      <c r="C181" t="s">
        <v>28</v>
      </c>
      <c r="D181">
        <v>605.67999999999995</v>
      </c>
      <c r="E181" s="1">
        <f>motor_data_8screws_8bolts_evenly_distributed[[#This Row],[Time (s)]]-1764249896</f>
        <v>99</v>
      </c>
      <c r="H181">
        <f>motor_data_8screws_8bolts_evenly_distributed[[#This Row],[RPM]]</f>
        <v>605.67999999999995</v>
      </c>
    </row>
    <row r="182" spans="1:8" x14ac:dyDescent="0.25">
      <c r="A182">
        <v>1764249995</v>
      </c>
      <c r="B182">
        <v>197.55</v>
      </c>
      <c r="C182" t="s">
        <v>146</v>
      </c>
      <c r="D182">
        <v>607.95000000000005</v>
      </c>
      <c r="E182" s="1">
        <f>motor_data_8screws_8bolts_evenly_distributed[[#This Row],[Time (s)]]-1764249896</f>
        <v>99</v>
      </c>
      <c r="H182">
        <f>motor_data_8screws_8bolts_evenly_distributed[[#This Row],[RPM]]</f>
        <v>607.95000000000005</v>
      </c>
    </row>
    <row r="183" spans="1:8" x14ac:dyDescent="0.25">
      <c r="A183">
        <v>1764249996</v>
      </c>
      <c r="B183">
        <v>200.05</v>
      </c>
      <c r="C183" t="s">
        <v>26</v>
      </c>
      <c r="D183">
        <v>609.09</v>
      </c>
      <c r="E183" s="1">
        <f>motor_data_8screws_8bolts_evenly_distributed[[#This Row],[Time (s)]]-1764249896</f>
        <v>100</v>
      </c>
      <c r="H183">
        <f>motor_data_8screws_8bolts_evenly_distributed[[#This Row],[RPM]]</f>
        <v>609.09</v>
      </c>
    </row>
    <row r="184" spans="1:8" x14ac:dyDescent="0.25">
      <c r="A184">
        <v>1764249996</v>
      </c>
      <c r="B184">
        <v>202.55</v>
      </c>
      <c r="C184" t="s">
        <v>25</v>
      </c>
      <c r="D184">
        <v>611.36</v>
      </c>
      <c r="E184" s="1">
        <f>motor_data_8screws_8bolts_evenly_distributed[[#This Row],[Time (s)]]-1764249896</f>
        <v>100</v>
      </c>
      <c r="H184">
        <f>motor_data_8screws_8bolts_evenly_distributed[[#This Row],[RPM]]</f>
        <v>611.36</v>
      </c>
    </row>
    <row r="185" spans="1:8" x14ac:dyDescent="0.25">
      <c r="A185">
        <v>1764249997</v>
      </c>
      <c r="B185">
        <v>205.05</v>
      </c>
      <c r="C185" t="s">
        <v>24</v>
      </c>
      <c r="D185">
        <v>614.77</v>
      </c>
      <c r="E185" s="1">
        <f>motor_data_8screws_8bolts_evenly_distributed[[#This Row],[Time (s)]]-1764249896</f>
        <v>101</v>
      </c>
      <c r="H185">
        <f>motor_data_8screws_8bolts_evenly_distributed[[#This Row],[RPM]]</f>
        <v>614.77</v>
      </c>
    </row>
    <row r="186" spans="1:8" x14ac:dyDescent="0.25">
      <c r="A186">
        <v>1764249998</v>
      </c>
      <c r="B186">
        <v>207.55</v>
      </c>
      <c r="C186" t="s">
        <v>23</v>
      </c>
      <c r="D186">
        <v>615.91</v>
      </c>
      <c r="E186" s="1">
        <f>motor_data_8screws_8bolts_evenly_distributed[[#This Row],[Time (s)]]-1764249896</f>
        <v>102</v>
      </c>
      <c r="H186">
        <f>motor_data_8screws_8bolts_evenly_distributed[[#This Row],[RPM]]</f>
        <v>615.91</v>
      </c>
    </row>
    <row r="187" spans="1:8" x14ac:dyDescent="0.25">
      <c r="A187">
        <v>1764249998</v>
      </c>
      <c r="B187">
        <v>210.05</v>
      </c>
      <c r="C187" t="s">
        <v>22</v>
      </c>
      <c r="D187">
        <v>618.17999999999995</v>
      </c>
      <c r="E187" s="1">
        <f>motor_data_8screws_8bolts_evenly_distributed[[#This Row],[Time (s)]]-1764249896</f>
        <v>102</v>
      </c>
      <c r="H187">
        <f>motor_data_8screws_8bolts_evenly_distributed[[#This Row],[RPM]]</f>
        <v>618.17999999999995</v>
      </c>
    </row>
    <row r="188" spans="1:8" x14ac:dyDescent="0.25">
      <c r="A188">
        <v>1764249999</v>
      </c>
      <c r="B188">
        <v>212.55</v>
      </c>
      <c r="C188" t="s">
        <v>21</v>
      </c>
      <c r="D188">
        <v>620.45000000000005</v>
      </c>
      <c r="E188" s="1">
        <f>motor_data_8screws_8bolts_evenly_distributed[[#This Row],[Time (s)]]-1764249896</f>
        <v>103</v>
      </c>
      <c r="H188">
        <f>motor_data_8screws_8bolts_evenly_distributed[[#This Row],[RPM]]</f>
        <v>620.45000000000005</v>
      </c>
    </row>
    <row r="189" spans="1:8" x14ac:dyDescent="0.25">
      <c r="A189">
        <v>1764249999</v>
      </c>
      <c r="B189">
        <v>215.05</v>
      </c>
      <c r="C189" t="s">
        <v>147</v>
      </c>
      <c r="D189">
        <v>622.73</v>
      </c>
      <c r="E189" s="1">
        <f>motor_data_8screws_8bolts_evenly_distributed[[#This Row],[Time (s)]]-1764249896</f>
        <v>103</v>
      </c>
      <c r="H189">
        <f>motor_data_8screws_8bolts_evenly_distributed[[#This Row],[RPM]]</f>
        <v>622.73</v>
      </c>
    </row>
    <row r="190" spans="1:8" x14ac:dyDescent="0.25">
      <c r="A190">
        <v>1764250000</v>
      </c>
      <c r="B190">
        <v>217.55</v>
      </c>
      <c r="C190" t="s">
        <v>20</v>
      </c>
      <c r="D190">
        <v>623.86</v>
      </c>
      <c r="E190" s="1">
        <f>motor_data_8screws_8bolts_evenly_distributed[[#This Row],[Time (s)]]-1764249896</f>
        <v>104</v>
      </c>
      <c r="H190">
        <f>motor_data_8screws_8bolts_evenly_distributed[[#This Row],[RPM]]</f>
        <v>623.86</v>
      </c>
    </row>
    <row r="191" spans="1:8" x14ac:dyDescent="0.25">
      <c r="A191">
        <v>1764250000</v>
      </c>
      <c r="B191">
        <v>220.05</v>
      </c>
      <c r="C191" t="s">
        <v>148</v>
      </c>
      <c r="D191">
        <v>625</v>
      </c>
      <c r="E191" s="1">
        <f>motor_data_8screws_8bolts_evenly_distributed[[#This Row],[Time (s)]]-1764249896</f>
        <v>104</v>
      </c>
      <c r="H191">
        <f>motor_data_8screws_8bolts_evenly_distributed[[#This Row],[RPM]]</f>
        <v>625</v>
      </c>
    </row>
    <row r="192" spans="1:8" x14ac:dyDescent="0.25">
      <c r="A192">
        <v>1764250001</v>
      </c>
      <c r="B192">
        <v>222.55</v>
      </c>
      <c r="C192" t="s">
        <v>18</v>
      </c>
      <c r="D192">
        <v>627.27</v>
      </c>
      <c r="E192" s="1">
        <f>motor_data_8screws_8bolts_evenly_distributed[[#This Row],[Time (s)]]-1764249896</f>
        <v>105</v>
      </c>
      <c r="H192">
        <f>motor_data_8screws_8bolts_evenly_distributed[[#This Row],[RPM]]</f>
        <v>627.27</v>
      </c>
    </row>
    <row r="193" spans="1:8" x14ac:dyDescent="0.25">
      <c r="A193">
        <v>1764250001</v>
      </c>
      <c r="B193">
        <v>225.05</v>
      </c>
      <c r="C193" t="s">
        <v>17</v>
      </c>
      <c r="D193">
        <v>629.54999999999995</v>
      </c>
      <c r="E193" s="1">
        <f>motor_data_8screws_8bolts_evenly_distributed[[#This Row],[Time (s)]]-1764249896</f>
        <v>105</v>
      </c>
      <c r="H193">
        <f>motor_data_8screws_8bolts_evenly_distributed[[#This Row],[RPM]]</f>
        <v>629.54999999999995</v>
      </c>
    </row>
    <row r="194" spans="1:8" x14ac:dyDescent="0.25">
      <c r="A194">
        <v>1764250002</v>
      </c>
      <c r="B194">
        <v>227.55</v>
      </c>
      <c r="C194" t="s">
        <v>16</v>
      </c>
      <c r="D194">
        <v>632.95000000000005</v>
      </c>
      <c r="E194" s="1">
        <f>motor_data_8screws_8bolts_evenly_distributed[[#This Row],[Time (s)]]-1764249896</f>
        <v>106</v>
      </c>
      <c r="H194">
        <f>motor_data_8screws_8bolts_evenly_distributed[[#This Row],[RPM]]</f>
        <v>632.95000000000005</v>
      </c>
    </row>
    <row r="195" spans="1:8" x14ac:dyDescent="0.25">
      <c r="A195">
        <v>1764250003</v>
      </c>
      <c r="B195">
        <v>230.05</v>
      </c>
      <c r="C195" t="s">
        <v>15</v>
      </c>
      <c r="D195">
        <v>634.09</v>
      </c>
      <c r="E195" s="1">
        <f>motor_data_8screws_8bolts_evenly_distributed[[#This Row],[Time (s)]]-1764249896</f>
        <v>107</v>
      </c>
      <c r="H195">
        <f>motor_data_8screws_8bolts_evenly_distributed[[#This Row],[RPM]]</f>
        <v>634.09</v>
      </c>
    </row>
    <row r="196" spans="1:8" x14ac:dyDescent="0.25">
      <c r="A196">
        <v>1764250003</v>
      </c>
      <c r="B196">
        <v>232.55</v>
      </c>
      <c r="C196" t="s">
        <v>14</v>
      </c>
      <c r="D196">
        <v>636.36</v>
      </c>
      <c r="E196" s="1">
        <f>motor_data_8screws_8bolts_evenly_distributed[[#This Row],[Time (s)]]-1764249896</f>
        <v>107</v>
      </c>
      <c r="H196">
        <f>motor_data_8screws_8bolts_evenly_distributed[[#This Row],[RPM]]</f>
        <v>636.36</v>
      </c>
    </row>
    <row r="197" spans="1:8" x14ac:dyDescent="0.25">
      <c r="A197">
        <v>1764250004</v>
      </c>
      <c r="B197">
        <v>235.05</v>
      </c>
      <c r="C197" t="s">
        <v>149</v>
      </c>
      <c r="D197">
        <v>637.5</v>
      </c>
      <c r="E197" s="1">
        <f>motor_data_8screws_8bolts_evenly_distributed[[#This Row],[Time (s)]]-1764249896</f>
        <v>108</v>
      </c>
      <c r="H197">
        <f>motor_data_8screws_8bolts_evenly_distributed[[#This Row],[RPM]]</f>
        <v>637.5</v>
      </c>
    </row>
    <row r="198" spans="1:8" x14ac:dyDescent="0.25">
      <c r="A198">
        <v>1764250004</v>
      </c>
      <c r="B198">
        <v>237.55</v>
      </c>
      <c r="C198" t="s">
        <v>13</v>
      </c>
      <c r="D198">
        <v>638.64</v>
      </c>
      <c r="E198" s="1">
        <f>motor_data_8screws_8bolts_evenly_distributed[[#This Row],[Time (s)]]-1764249896</f>
        <v>108</v>
      </c>
      <c r="H198">
        <f>motor_data_8screws_8bolts_evenly_distributed[[#This Row],[RPM]]</f>
        <v>638.64</v>
      </c>
    </row>
    <row r="199" spans="1:8" x14ac:dyDescent="0.25">
      <c r="A199">
        <v>1764250005</v>
      </c>
      <c r="B199">
        <v>240.05</v>
      </c>
      <c r="C199" t="s">
        <v>149</v>
      </c>
      <c r="D199">
        <v>637.5</v>
      </c>
      <c r="E199" s="1">
        <f>motor_data_8screws_8bolts_evenly_distributed[[#This Row],[Time (s)]]-1764249896</f>
        <v>109</v>
      </c>
      <c r="H199">
        <f>motor_data_8screws_8bolts_evenly_distributed[[#This Row],[RPM]]</f>
        <v>637.5</v>
      </c>
    </row>
    <row r="200" spans="1:8" x14ac:dyDescent="0.25">
      <c r="A200">
        <v>1764250005</v>
      </c>
      <c r="B200">
        <v>242.55</v>
      </c>
      <c r="C200" t="s">
        <v>149</v>
      </c>
      <c r="D200">
        <v>637.5</v>
      </c>
      <c r="E200" s="1">
        <f>motor_data_8screws_8bolts_evenly_distributed[[#This Row],[Time (s)]]-1764249896</f>
        <v>109</v>
      </c>
      <c r="H200">
        <f>motor_data_8screws_8bolts_evenly_distributed[[#This Row],[RPM]]</f>
        <v>637.5</v>
      </c>
    </row>
    <row r="201" spans="1:8" x14ac:dyDescent="0.25">
      <c r="A201">
        <v>1764250006</v>
      </c>
      <c r="B201">
        <v>245.05</v>
      </c>
      <c r="C201" t="s">
        <v>13</v>
      </c>
      <c r="D201">
        <v>638.64</v>
      </c>
      <c r="E201" s="1">
        <f>motor_data_8screws_8bolts_evenly_distributed[[#This Row],[Time (s)]]-1764249896</f>
        <v>110</v>
      </c>
      <c r="H201">
        <f>motor_data_8screws_8bolts_evenly_distributed[[#This Row],[RPM]]</f>
        <v>638.64</v>
      </c>
    </row>
    <row r="202" spans="1:8" x14ac:dyDescent="0.25">
      <c r="A202">
        <v>1764250006</v>
      </c>
      <c r="B202">
        <v>247.55</v>
      </c>
      <c r="C202" t="s">
        <v>150</v>
      </c>
      <c r="D202">
        <v>639.77</v>
      </c>
      <c r="E202" s="1">
        <f>motor_data_8screws_8bolts_evenly_distributed[[#This Row],[Time (s)]]-1764249896</f>
        <v>110</v>
      </c>
      <c r="H202">
        <f>motor_data_8screws_8bolts_evenly_distributed[[#This Row],[RPM]]</f>
        <v>639.77</v>
      </c>
    </row>
    <row r="203" spans="1:8" x14ac:dyDescent="0.25">
      <c r="A203">
        <v>1764250007</v>
      </c>
      <c r="B203">
        <v>250.05</v>
      </c>
      <c r="C203" t="s">
        <v>9</v>
      </c>
      <c r="D203">
        <v>645.45000000000005</v>
      </c>
      <c r="E203" s="1">
        <f>motor_data_8screws_8bolts_evenly_distributed[[#This Row],[Time (s)]]-1764249896</f>
        <v>111</v>
      </c>
      <c r="H203">
        <f>motor_data_8screws_8bolts_evenly_distributed[[#This Row],[RPM]]</f>
        <v>645.45000000000005</v>
      </c>
    </row>
    <row r="204" spans="1:8" x14ac:dyDescent="0.25">
      <c r="A204">
        <v>1764250008</v>
      </c>
      <c r="B204">
        <v>252.55</v>
      </c>
      <c r="C204" t="s">
        <v>7</v>
      </c>
      <c r="D204">
        <v>654.54999999999995</v>
      </c>
      <c r="E204" s="1">
        <f>motor_data_8screws_8bolts_evenly_distributed[[#This Row],[Time (s)]]-1764249896</f>
        <v>112</v>
      </c>
      <c r="H204">
        <f>motor_data_8screws_8bolts_evenly_distributed[[#This Row],[RPM]]</f>
        <v>654.54999999999995</v>
      </c>
    </row>
    <row r="205" spans="1:8" x14ac:dyDescent="0.25">
      <c r="A205">
        <v>1764250008</v>
      </c>
      <c r="B205">
        <v>255</v>
      </c>
      <c r="C205" t="s">
        <v>151</v>
      </c>
      <c r="D205">
        <v>668.18</v>
      </c>
      <c r="E205" s="1">
        <f>motor_data_8screws_8bolts_evenly_distributed[[#This Row],[Time (s)]]-1764249896</f>
        <v>112</v>
      </c>
      <c r="H205">
        <f>motor_data_8screws_8bolts_evenly_distributed[[#This Row],[RPM]]</f>
        <v>668.18</v>
      </c>
    </row>
    <row r="206" spans="1:8" x14ac:dyDescent="0.25">
      <c r="A206">
        <v>1764250009</v>
      </c>
      <c r="B206">
        <v>255</v>
      </c>
      <c r="C206" t="s">
        <v>152</v>
      </c>
      <c r="D206">
        <v>673.86</v>
      </c>
      <c r="E206" s="1">
        <f>motor_data_8screws_8bolts_evenly_distributed[[#This Row],[Time (s)]]-1764249896</f>
        <v>113</v>
      </c>
      <c r="H206">
        <f>motor_data_8screws_8bolts_evenly_distributed[[#This Row],[RPM]]</f>
        <v>673.86</v>
      </c>
    </row>
    <row r="207" spans="1:8" x14ac:dyDescent="0.25">
      <c r="A207">
        <v>1764250009</v>
      </c>
      <c r="B207">
        <v>255</v>
      </c>
      <c r="C207" t="s">
        <v>153</v>
      </c>
      <c r="D207">
        <v>676.14</v>
      </c>
      <c r="E207" s="1">
        <f>motor_data_8screws_8bolts_evenly_distributed[[#This Row],[Time (s)]]-1764249896</f>
        <v>113</v>
      </c>
      <c r="H207">
        <f>motor_data_8screws_8bolts_evenly_distributed[[#This Row],[RPM]]</f>
        <v>676.14</v>
      </c>
    </row>
    <row r="208" spans="1:8" x14ac:dyDescent="0.25">
      <c r="A208">
        <v>1764250010</v>
      </c>
      <c r="B208">
        <v>255</v>
      </c>
      <c r="C208" t="s">
        <v>154</v>
      </c>
      <c r="D208">
        <v>675</v>
      </c>
      <c r="E208" s="1">
        <f>motor_data_8screws_8bolts_evenly_distributed[[#This Row],[Time (s)]]-1764249896</f>
        <v>114</v>
      </c>
      <c r="H208">
        <f>motor_data_8screws_8bolts_evenly_distributed[[#This Row],[RPM]]</f>
        <v>675</v>
      </c>
    </row>
    <row r="209" spans="1:8" x14ac:dyDescent="0.25">
      <c r="A209">
        <v>1764250010</v>
      </c>
      <c r="B209">
        <v>255</v>
      </c>
      <c r="C209" t="s">
        <v>153</v>
      </c>
      <c r="D209">
        <v>676.14</v>
      </c>
      <c r="E209" s="1">
        <f>motor_data_8screws_8bolts_evenly_distributed[[#This Row],[Time (s)]]-1764249896</f>
        <v>114</v>
      </c>
      <c r="H209">
        <f>motor_data_8screws_8bolts_evenly_distributed[[#This Row],[RPM]]</f>
        <v>676.14</v>
      </c>
    </row>
    <row r="210" spans="1:8" x14ac:dyDescent="0.25">
      <c r="A210">
        <v>1764250011</v>
      </c>
      <c r="B210">
        <v>255</v>
      </c>
      <c r="C210" t="s">
        <v>153</v>
      </c>
      <c r="D210">
        <v>676.14</v>
      </c>
      <c r="E210" s="1">
        <f>motor_data_8screws_8bolts_evenly_distributed[[#This Row],[Time (s)]]-1764249896</f>
        <v>115</v>
      </c>
      <c r="H210">
        <f>motor_data_8screws_8bolts_evenly_distributed[[#This Row],[RPM]]</f>
        <v>676.14</v>
      </c>
    </row>
    <row r="211" spans="1:8" x14ac:dyDescent="0.25">
      <c r="A211">
        <v>1764250011</v>
      </c>
      <c r="B211">
        <v>255</v>
      </c>
      <c r="C211" t="s">
        <v>154</v>
      </c>
      <c r="D211">
        <v>675</v>
      </c>
      <c r="E211" s="1">
        <f>motor_data_8screws_8bolts_evenly_distributed[[#This Row],[Time (s)]]-1764249896</f>
        <v>115</v>
      </c>
      <c r="H211">
        <f>motor_data_8screws_8bolts_evenly_distributed[[#This Row],[RPM]]</f>
        <v>675</v>
      </c>
    </row>
    <row r="212" spans="1:8" x14ac:dyDescent="0.25">
      <c r="A212">
        <v>1764250012</v>
      </c>
      <c r="B212">
        <v>255</v>
      </c>
      <c r="C212" t="s">
        <v>155</v>
      </c>
      <c r="D212">
        <v>677.27</v>
      </c>
      <c r="E212" s="1">
        <f>motor_data_8screws_8bolts_evenly_distributed[[#This Row],[Time (s)]]-1764249896</f>
        <v>116</v>
      </c>
      <c r="H212">
        <f>motor_data_8screws_8bolts_evenly_distributed[[#This Row],[RPM]]</f>
        <v>677.27</v>
      </c>
    </row>
    <row r="213" spans="1:8" x14ac:dyDescent="0.25">
      <c r="A213">
        <v>1764250012</v>
      </c>
      <c r="B213">
        <v>255</v>
      </c>
      <c r="C213" t="s">
        <v>153</v>
      </c>
      <c r="D213">
        <v>676.14</v>
      </c>
      <c r="E213" s="1">
        <f>motor_data_8screws_8bolts_evenly_distributed[[#This Row],[Time (s)]]-1764249896</f>
        <v>116</v>
      </c>
      <c r="H213">
        <f>motor_data_8screws_8bolts_evenly_distributed[[#This Row],[RPM]]</f>
        <v>676.14</v>
      </c>
    </row>
    <row r="214" spans="1:8" x14ac:dyDescent="0.25">
      <c r="A214">
        <v>1764250013</v>
      </c>
      <c r="B214">
        <v>255</v>
      </c>
      <c r="C214" t="s">
        <v>153</v>
      </c>
      <c r="D214">
        <v>676.14</v>
      </c>
      <c r="E214" s="1">
        <f>motor_data_8screws_8bolts_evenly_distributed[[#This Row],[Time (s)]]-1764249896</f>
        <v>117</v>
      </c>
      <c r="H214">
        <f>motor_data_8screws_8bolts_evenly_distributed[[#This Row],[RPM]]</f>
        <v>676.14</v>
      </c>
    </row>
    <row r="215" spans="1:8" x14ac:dyDescent="0.25">
      <c r="A215">
        <v>1764250014</v>
      </c>
      <c r="B215">
        <v>255</v>
      </c>
      <c r="C215" t="s">
        <v>153</v>
      </c>
      <c r="D215">
        <v>676.14</v>
      </c>
      <c r="E215" s="1">
        <f>motor_data_8screws_8bolts_evenly_distributed[[#This Row],[Time (s)]]-1764249896</f>
        <v>118</v>
      </c>
      <c r="H215">
        <f>motor_data_8screws_8bolts_evenly_distributed[[#This Row],[RPM]]</f>
        <v>676.14</v>
      </c>
    </row>
    <row r="216" spans="1:8" x14ac:dyDescent="0.25">
      <c r="A216">
        <v>1764250014</v>
      </c>
      <c r="B216">
        <v>255</v>
      </c>
      <c r="C216" t="s">
        <v>153</v>
      </c>
      <c r="D216">
        <v>676.14</v>
      </c>
      <c r="E216" s="1">
        <f>motor_data_8screws_8bolts_evenly_distributed[[#This Row],[Time (s)]]-1764249896</f>
        <v>118</v>
      </c>
      <c r="H216">
        <f>motor_data_8screws_8bolts_evenly_distributed[[#This Row],[RPM]]</f>
        <v>676.14</v>
      </c>
    </row>
    <row r="217" spans="1:8" x14ac:dyDescent="0.25">
      <c r="A217">
        <v>1764250015</v>
      </c>
      <c r="B217">
        <v>255</v>
      </c>
      <c r="C217" t="s">
        <v>153</v>
      </c>
      <c r="D217">
        <v>676.14</v>
      </c>
      <c r="E217" s="1">
        <f>motor_data_8screws_8bolts_evenly_distributed[[#This Row],[Time (s)]]-1764249896</f>
        <v>119</v>
      </c>
      <c r="H217">
        <f>motor_data_8screws_8bolts_evenly_distributed[[#This Row],[RPM]]</f>
        <v>676.14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BFD519-DEFD-4BB0-AC58-834ACCD9D8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motor_data_8screws_8bolts_e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Oliveira</cp:lastModifiedBy>
  <dcterms:created xsi:type="dcterms:W3CDTF">2025-11-27T13:34:21Z</dcterms:created>
  <dcterms:modified xsi:type="dcterms:W3CDTF">2025-11-27T13:55:47Z</dcterms:modified>
</cp:coreProperties>
</file>